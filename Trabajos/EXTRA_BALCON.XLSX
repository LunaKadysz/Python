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Luna Kadysz\Documents\Python Scripts\Python\Trabajos\"/>
    </mc:Choice>
  </mc:AlternateContent>
  <xr:revisionPtr revIDLastSave="0" documentId="13_ncr:1_{2F2E5B4F-84C0-4A7D-BB39-328779153469}" xr6:coauthVersionLast="45" xr6:coauthVersionMax="45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000009154242EX" sheetId="3" r:id="rId1"/>
    <sheet name="000009184487EX" sheetId="7" r:id="rId2"/>
    <sheet name="000009085630EX" sheetId="8" r:id="rId3"/>
    <sheet name="000009234228EX" sheetId="9" r:id="rId4"/>
    <sheet name="000009161190EX" sheetId="10" r:id="rId5"/>
    <sheet name="000009268092BC" sheetId="13" r:id="rId6"/>
    <sheet name="000009181144BC" sheetId="14" r:id="rId7"/>
    <sheet name="000009093197BC" sheetId="11" r:id="rId8"/>
    <sheet name="000000017145BC" sheetId="12" r:id="rId9"/>
    <sheet name="000009259774BC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15" l="1"/>
  <c r="C14" i="15"/>
  <c r="M4" i="15"/>
  <c r="E4" i="15"/>
  <c r="C15" i="14"/>
  <c r="C14" i="14"/>
  <c r="M4" i="14"/>
  <c r="F4" i="14"/>
  <c r="Q4" i="14" s="1"/>
  <c r="E4" i="14"/>
  <c r="C15" i="13"/>
  <c r="C14" i="13"/>
  <c r="M4" i="13"/>
  <c r="E4" i="13"/>
  <c r="C14" i="12"/>
  <c r="C15" i="12"/>
  <c r="M4" i="12"/>
  <c r="E4" i="12"/>
  <c r="E5" i="15" l="1"/>
  <c r="F4" i="15"/>
  <c r="Q4" i="15" s="1"/>
  <c r="R4" i="14"/>
  <c r="G4" i="14"/>
  <c r="H4" i="14" s="1"/>
  <c r="E5" i="14"/>
  <c r="E5" i="13"/>
  <c r="F4" i="13"/>
  <c r="F4" i="12"/>
  <c r="Q4" i="12" s="1"/>
  <c r="E5" i="12"/>
  <c r="C15" i="11"/>
  <c r="C14" i="11"/>
  <c r="M4" i="11"/>
  <c r="E4" i="11"/>
  <c r="E5" i="11" s="1"/>
  <c r="C15" i="10"/>
  <c r="C14" i="10"/>
  <c r="M4" i="10"/>
  <c r="Q4" i="10" s="1"/>
  <c r="AN4" i="10" s="1"/>
  <c r="E4" i="10"/>
  <c r="E5" i="10" s="1"/>
  <c r="C14" i="9"/>
  <c r="C15" i="9"/>
  <c r="M4" i="9"/>
  <c r="Q4" i="9" s="1"/>
  <c r="AN4" i="9" s="1"/>
  <c r="E4" i="9"/>
  <c r="C15" i="3"/>
  <c r="C14" i="3"/>
  <c r="C15" i="7"/>
  <c r="C14" i="7"/>
  <c r="C15" i="8"/>
  <c r="C14" i="8"/>
  <c r="M4" i="8"/>
  <c r="Q4" i="8" s="1"/>
  <c r="AN4" i="8" s="1"/>
  <c r="E4" i="8"/>
  <c r="M4" i="7"/>
  <c r="E4" i="7"/>
  <c r="G4" i="15" l="1"/>
  <c r="H4" i="15" s="1"/>
  <c r="I4" i="15" s="1"/>
  <c r="J4" i="15" s="1"/>
  <c r="K4" i="15" s="1"/>
  <c r="R4" i="15"/>
  <c r="E6" i="15"/>
  <c r="F5" i="15"/>
  <c r="Q5" i="15" s="1"/>
  <c r="N4" i="14"/>
  <c r="I4" i="14"/>
  <c r="J4" i="14" s="1"/>
  <c r="K4" i="14" s="1"/>
  <c r="T4" i="14"/>
  <c r="S4" i="14"/>
  <c r="U4" i="14" s="1"/>
  <c r="W4" i="14" s="1"/>
  <c r="F5" i="14"/>
  <c r="Q5" i="14" s="1"/>
  <c r="E6" i="14"/>
  <c r="Q4" i="13"/>
  <c r="G4" i="13"/>
  <c r="H4" i="13" s="1"/>
  <c r="I4" i="13" s="1"/>
  <c r="J4" i="13" s="1"/>
  <c r="K4" i="13" s="1"/>
  <c r="F5" i="13"/>
  <c r="Q5" i="13" s="1"/>
  <c r="E6" i="13"/>
  <c r="R4" i="12"/>
  <c r="E6" i="12"/>
  <c r="F5" i="12"/>
  <c r="Q5" i="12" s="1"/>
  <c r="G4" i="12"/>
  <c r="H4" i="12" s="1"/>
  <c r="I4" i="12" s="1"/>
  <c r="J4" i="12" s="1"/>
  <c r="K4" i="12" s="1"/>
  <c r="F4" i="11"/>
  <c r="Q4" i="11" s="1"/>
  <c r="E6" i="11"/>
  <c r="E6" i="10"/>
  <c r="F4" i="10"/>
  <c r="E5" i="9"/>
  <c r="F4" i="9"/>
  <c r="R4" i="9" s="1"/>
  <c r="E5" i="8"/>
  <c r="F4" i="8"/>
  <c r="R4" i="8" s="1"/>
  <c r="Q4" i="7"/>
  <c r="AN4" i="7" s="1"/>
  <c r="F4" i="7"/>
  <c r="R4" i="7" s="1"/>
  <c r="E5" i="7"/>
  <c r="M4" i="3"/>
  <c r="Q4" i="3" s="1"/>
  <c r="AN4" i="3" s="1"/>
  <c r="R4" i="11" l="1"/>
  <c r="R5" i="15"/>
  <c r="F6" i="15"/>
  <c r="Q6" i="15" s="1"/>
  <c r="E7" i="15"/>
  <c r="G5" i="15"/>
  <c r="H5" i="15" s="1"/>
  <c r="I5" i="15" s="1"/>
  <c r="N4" i="15"/>
  <c r="T4" i="15"/>
  <c r="S4" i="15"/>
  <c r="U4" i="15" s="1"/>
  <c r="W4" i="15" s="1"/>
  <c r="L4" i="15"/>
  <c r="V4" i="14"/>
  <c r="X4" i="14" s="1"/>
  <c r="R5" i="14"/>
  <c r="L4" i="14"/>
  <c r="G5" i="14"/>
  <c r="H5" i="14" s="1"/>
  <c r="I5" i="14" s="1"/>
  <c r="J5" i="14" s="1"/>
  <c r="K5" i="14" s="1"/>
  <c r="F6" i="14"/>
  <c r="Q6" i="14" s="1"/>
  <c r="E7" i="14"/>
  <c r="AL4" i="14"/>
  <c r="G5" i="13"/>
  <c r="H5" i="13" s="1"/>
  <c r="I5" i="13" s="1"/>
  <c r="J5" i="13" s="1"/>
  <c r="K5" i="13" s="1"/>
  <c r="L4" i="13"/>
  <c r="E7" i="13"/>
  <c r="F6" i="13"/>
  <c r="Q6" i="13" s="1"/>
  <c r="R4" i="13"/>
  <c r="N4" i="13"/>
  <c r="R5" i="13"/>
  <c r="S4" i="12"/>
  <c r="U4" i="12" s="1"/>
  <c r="W4" i="12" s="1"/>
  <c r="T4" i="12"/>
  <c r="N4" i="12"/>
  <c r="G5" i="12"/>
  <c r="H5" i="12" s="1"/>
  <c r="I5" i="12" s="1"/>
  <c r="L4" i="12"/>
  <c r="E7" i="12"/>
  <c r="F6" i="12"/>
  <c r="Q6" i="12" s="1"/>
  <c r="R5" i="12"/>
  <c r="F5" i="11"/>
  <c r="Q5" i="11" s="1"/>
  <c r="G4" i="11"/>
  <c r="H4" i="11" s="1"/>
  <c r="I4" i="11" s="1"/>
  <c r="J4" i="11" s="1"/>
  <c r="K4" i="11" s="1"/>
  <c r="T4" i="11"/>
  <c r="S4" i="11"/>
  <c r="U4" i="11" s="1"/>
  <c r="W4" i="11" s="1"/>
  <c r="E7" i="11"/>
  <c r="F6" i="11"/>
  <c r="Q6" i="11" s="1"/>
  <c r="R4" i="10"/>
  <c r="G4" i="10"/>
  <c r="H4" i="10" s="1"/>
  <c r="I4" i="10" s="1"/>
  <c r="F5" i="10"/>
  <c r="E7" i="10"/>
  <c r="F6" i="10"/>
  <c r="R6" i="10" s="1"/>
  <c r="S4" i="9"/>
  <c r="G4" i="9"/>
  <c r="H4" i="9" s="1"/>
  <c r="I4" i="9" s="1"/>
  <c r="J4" i="9" s="1"/>
  <c r="K4" i="9" s="1"/>
  <c r="E6" i="9"/>
  <c r="F5" i="9"/>
  <c r="R5" i="9" s="1"/>
  <c r="G4" i="8"/>
  <c r="H4" i="8" s="1"/>
  <c r="I4" i="8" s="1"/>
  <c r="J4" i="8" s="1"/>
  <c r="K4" i="8" s="1"/>
  <c r="E6" i="8"/>
  <c r="F5" i="8"/>
  <c r="R5" i="8" s="1"/>
  <c r="S4" i="8"/>
  <c r="E6" i="7"/>
  <c r="F5" i="7"/>
  <c r="R5" i="7" s="1"/>
  <c r="G4" i="7"/>
  <c r="H4" i="7" s="1"/>
  <c r="I4" i="7" s="1"/>
  <c r="J4" i="7" s="1"/>
  <c r="K4" i="7" s="1"/>
  <c r="S4" i="7"/>
  <c r="E4" i="3"/>
  <c r="R5" i="11" l="1"/>
  <c r="J5" i="15"/>
  <c r="K5" i="15" s="1"/>
  <c r="T5" i="15"/>
  <c r="V5" i="15" s="1"/>
  <c r="S5" i="15"/>
  <c r="U5" i="15" s="1"/>
  <c r="V4" i="15"/>
  <c r="X4" i="15" s="1"/>
  <c r="F7" i="15"/>
  <c r="Q7" i="15" s="1"/>
  <c r="R7" i="15" s="1"/>
  <c r="E8" i="15"/>
  <c r="AL4" i="15"/>
  <c r="G6" i="15"/>
  <c r="H6" i="15" s="1"/>
  <c r="I6" i="15" s="1"/>
  <c r="R6" i="15"/>
  <c r="L5" i="14"/>
  <c r="T5" i="14"/>
  <c r="V5" i="14" s="1"/>
  <c r="S5" i="14"/>
  <c r="U5" i="14" s="1"/>
  <c r="E8" i="14"/>
  <c r="F7" i="14"/>
  <c r="Q7" i="14" s="1"/>
  <c r="G6" i="14"/>
  <c r="H6" i="14" s="1"/>
  <c r="I6" i="14" s="1"/>
  <c r="J6" i="14" s="1"/>
  <c r="K6" i="14" s="1"/>
  <c r="R6" i="14"/>
  <c r="L5" i="13"/>
  <c r="AL4" i="13"/>
  <c r="T4" i="13"/>
  <c r="S4" i="13"/>
  <c r="U4" i="13" s="1"/>
  <c r="W4" i="13" s="1"/>
  <c r="E8" i="13"/>
  <c r="F7" i="13"/>
  <c r="Q7" i="13" s="1"/>
  <c r="R7" i="13" s="1"/>
  <c r="G6" i="13"/>
  <c r="H6" i="13" s="1"/>
  <c r="I6" i="13" s="1"/>
  <c r="J6" i="13" s="1"/>
  <c r="K6" i="13" s="1"/>
  <c r="S5" i="13"/>
  <c r="U5" i="13" s="1"/>
  <c r="T5" i="13"/>
  <c r="R6" i="13"/>
  <c r="J5" i="12"/>
  <c r="K5" i="12" s="1"/>
  <c r="T5" i="12"/>
  <c r="S5" i="12"/>
  <c r="U5" i="12" s="1"/>
  <c r="G6" i="12"/>
  <c r="H6" i="12" s="1"/>
  <c r="I6" i="12" s="1"/>
  <c r="R6" i="12"/>
  <c r="F7" i="12"/>
  <c r="Q7" i="12" s="1"/>
  <c r="E8" i="12"/>
  <c r="AL4" i="12"/>
  <c r="V4" i="12"/>
  <c r="X4" i="12" s="1"/>
  <c r="N4" i="11"/>
  <c r="AL4" i="11" s="1"/>
  <c r="G5" i="11"/>
  <c r="H5" i="11" s="1"/>
  <c r="I5" i="11" s="1"/>
  <c r="J5" i="11" s="1"/>
  <c r="K5" i="11" s="1"/>
  <c r="G6" i="11"/>
  <c r="H6" i="11" s="1"/>
  <c r="V4" i="11"/>
  <c r="X4" i="11" s="1"/>
  <c r="R6" i="11"/>
  <c r="E8" i="11"/>
  <c r="F7" i="11"/>
  <c r="Q7" i="11" s="1"/>
  <c r="S5" i="11"/>
  <c r="U5" i="11" s="1"/>
  <c r="T5" i="11"/>
  <c r="L4" i="11"/>
  <c r="R5" i="10"/>
  <c r="G5" i="10"/>
  <c r="H5" i="10" s="1"/>
  <c r="I5" i="10" s="1"/>
  <c r="G6" i="10"/>
  <c r="H6" i="10" s="1"/>
  <c r="J4" i="10"/>
  <c r="K4" i="10" s="1"/>
  <c r="E8" i="10"/>
  <c r="F7" i="10"/>
  <c r="R7" i="10" s="1"/>
  <c r="N4" i="10"/>
  <c r="S4" i="10"/>
  <c r="N4" i="9"/>
  <c r="G5" i="9"/>
  <c r="H5" i="9" s="1"/>
  <c r="I5" i="9" s="1"/>
  <c r="J5" i="9" s="1"/>
  <c r="T4" i="9"/>
  <c r="V4" i="9" s="1"/>
  <c r="X4" i="9" s="1"/>
  <c r="U4" i="9"/>
  <c r="W4" i="9" s="1"/>
  <c r="Y4" i="9" s="1"/>
  <c r="AM4" i="9"/>
  <c r="E7" i="9"/>
  <c r="F6" i="9"/>
  <c r="R6" i="9" s="1"/>
  <c r="K5" i="9"/>
  <c r="L4" i="9"/>
  <c r="S5" i="9"/>
  <c r="N4" i="8"/>
  <c r="AM4" i="8" s="1"/>
  <c r="S5" i="8"/>
  <c r="T4" i="8"/>
  <c r="V4" i="8" s="1"/>
  <c r="X4" i="8" s="1"/>
  <c r="U4" i="8"/>
  <c r="W4" i="8" s="1"/>
  <c r="Y4" i="8" s="1"/>
  <c r="G5" i="8"/>
  <c r="H5" i="8" s="1"/>
  <c r="I5" i="8" s="1"/>
  <c r="J5" i="8" s="1"/>
  <c r="K5" i="8" s="1"/>
  <c r="F6" i="8"/>
  <c r="R6" i="8" s="1"/>
  <c r="E7" i="8"/>
  <c r="L4" i="8"/>
  <c r="N4" i="7"/>
  <c r="AM4" i="7" s="1"/>
  <c r="U4" i="7"/>
  <c r="T4" i="7"/>
  <c r="V4" i="7" s="1"/>
  <c r="X4" i="7" s="1"/>
  <c r="G5" i="7"/>
  <c r="H5" i="7" s="1"/>
  <c r="I5" i="7" s="1"/>
  <c r="J5" i="7" s="1"/>
  <c r="K5" i="7" s="1"/>
  <c r="S5" i="7"/>
  <c r="L4" i="7"/>
  <c r="E7" i="7"/>
  <c r="F6" i="7"/>
  <c r="R6" i="7" s="1"/>
  <c r="S6" i="7" s="1"/>
  <c r="F4" i="3"/>
  <c r="R4" i="3" s="1"/>
  <c r="E5" i="3"/>
  <c r="S5" i="10" l="1"/>
  <c r="U5" i="10" s="1"/>
  <c r="G7" i="15"/>
  <c r="H7" i="15" s="1"/>
  <c r="I7" i="15" s="1"/>
  <c r="J7" i="15" s="1"/>
  <c r="J6" i="15"/>
  <c r="S7" i="15"/>
  <c r="U7" i="15" s="1"/>
  <c r="T7" i="15"/>
  <c r="T6" i="15"/>
  <c r="V6" i="15" s="1"/>
  <c r="S6" i="15"/>
  <c r="U6" i="15" s="1"/>
  <c r="E9" i="15"/>
  <c r="F8" i="15"/>
  <c r="Q8" i="15" s="1"/>
  <c r="L5" i="15"/>
  <c r="K6" i="15"/>
  <c r="G7" i="14"/>
  <c r="H7" i="14" s="1"/>
  <c r="I7" i="14" s="1"/>
  <c r="J7" i="14" s="1"/>
  <c r="K7" i="14" s="1"/>
  <c r="L6" i="14"/>
  <c r="S6" i="14"/>
  <c r="U6" i="14" s="1"/>
  <c r="T6" i="14"/>
  <c r="R7" i="14"/>
  <c r="E9" i="14"/>
  <c r="F8" i="14"/>
  <c r="Q8" i="14" s="1"/>
  <c r="V4" i="13"/>
  <c r="X4" i="13" s="1"/>
  <c r="L6" i="13"/>
  <c r="T7" i="13"/>
  <c r="S7" i="13"/>
  <c r="U7" i="13" s="1"/>
  <c r="F8" i="13"/>
  <c r="Q8" i="13" s="1"/>
  <c r="R8" i="13" s="1"/>
  <c r="E9" i="13"/>
  <c r="V5" i="13"/>
  <c r="G7" i="13"/>
  <c r="H7" i="13" s="1"/>
  <c r="I7" i="13" s="1"/>
  <c r="J7" i="13" s="1"/>
  <c r="K7" i="13" s="1"/>
  <c r="T6" i="13"/>
  <c r="S6" i="13"/>
  <c r="U6" i="13" s="1"/>
  <c r="J6" i="12"/>
  <c r="K6" i="12" s="1"/>
  <c r="F8" i="12"/>
  <c r="Q8" i="12" s="1"/>
  <c r="E9" i="12"/>
  <c r="G7" i="12"/>
  <c r="H7" i="12" s="1"/>
  <c r="I7" i="12" s="1"/>
  <c r="R7" i="12"/>
  <c r="V5" i="12"/>
  <c r="T6" i="12"/>
  <c r="S6" i="12"/>
  <c r="U6" i="12" s="1"/>
  <c r="L5" i="12"/>
  <c r="I6" i="11"/>
  <c r="J6" i="11" s="1"/>
  <c r="K6" i="11" s="1"/>
  <c r="V5" i="11"/>
  <c r="R7" i="11"/>
  <c r="S6" i="11"/>
  <c r="U6" i="11" s="1"/>
  <c r="T6" i="11"/>
  <c r="G7" i="11"/>
  <c r="H7" i="11" s="1"/>
  <c r="L5" i="11"/>
  <c r="E9" i="11"/>
  <c r="F8" i="11"/>
  <c r="Q8" i="11" s="1"/>
  <c r="J5" i="10"/>
  <c r="I6" i="10"/>
  <c r="AM4" i="10"/>
  <c r="K5" i="10"/>
  <c r="L4" i="10"/>
  <c r="T5" i="10"/>
  <c r="V5" i="10" s="1"/>
  <c r="E9" i="10"/>
  <c r="F8" i="10"/>
  <c r="R8" i="10" s="1"/>
  <c r="U4" i="10"/>
  <c r="T4" i="10"/>
  <c r="V4" i="10" s="1"/>
  <c r="X4" i="10" s="1"/>
  <c r="G7" i="10"/>
  <c r="H7" i="10" s="1"/>
  <c r="S7" i="10"/>
  <c r="S6" i="10"/>
  <c r="L5" i="9"/>
  <c r="F7" i="9"/>
  <c r="R7" i="9" s="1"/>
  <c r="E8" i="9"/>
  <c r="G6" i="9"/>
  <c r="H6" i="9" s="1"/>
  <c r="I6" i="9" s="1"/>
  <c r="U5" i="9"/>
  <c r="T5" i="9"/>
  <c r="V5" i="9" s="1"/>
  <c r="S6" i="9"/>
  <c r="G6" i="8"/>
  <c r="H6" i="8" s="1"/>
  <c r="I6" i="8" s="1"/>
  <c r="J6" i="8" s="1"/>
  <c r="K6" i="8" s="1"/>
  <c r="T5" i="8"/>
  <c r="V5" i="8" s="1"/>
  <c r="U5" i="8"/>
  <c r="W5" i="8" s="1"/>
  <c r="L5" i="8"/>
  <c r="E8" i="8"/>
  <c r="F7" i="8"/>
  <c r="R7" i="8" s="1"/>
  <c r="S6" i="8"/>
  <c r="U6" i="7"/>
  <c r="T6" i="7"/>
  <c r="V6" i="7" s="1"/>
  <c r="L5" i="7"/>
  <c r="W4" i="7"/>
  <c r="Y4" i="7" s="1"/>
  <c r="G6" i="7"/>
  <c r="H6" i="7" s="1"/>
  <c r="I6" i="7" s="1"/>
  <c r="E8" i="7"/>
  <c r="F7" i="7"/>
  <c r="R7" i="7" s="1"/>
  <c r="S7" i="7" s="1"/>
  <c r="U5" i="7"/>
  <c r="W5" i="7" s="1"/>
  <c r="T5" i="7"/>
  <c r="V5" i="7" s="1"/>
  <c r="S4" i="3"/>
  <c r="F5" i="3"/>
  <c r="G4" i="3"/>
  <c r="E6" i="3"/>
  <c r="I7" i="11" l="1"/>
  <c r="G8" i="15"/>
  <c r="H8" i="15" s="1"/>
  <c r="I8" i="15" s="1"/>
  <c r="J8" i="15" s="1"/>
  <c r="K7" i="15"/>
  <c r="L6" i="15"/>
  <c r="E10" i="15"/>
  <c r="F9" i="15"/>
  <c r="Q9" i="15" s="1"/>
  <c r="R8" i="15"/>
  <c r="V7" i="15"/>
  <c r="V6" i="14"/>
  <c r="L7" i="14"/>
  <c r="G8" i="14"/>
  <c r="H8" i="14" s="1"/>
  <c r="I8" i="14" s="1"/>
  <c r="J8" i="14" s="1"/>
  <c r="K8" i="14" s="1"/>
  <c r="T7" i="14"/>
  <c r="S7" i="14"/>
  <c r="U7" i="14" s="1"/>
  <c r="F9" i="14"/>
  <c r="Q9" i="14" s="1"/>
  <c r="E10" i="14"/>
  <c r="R8" i="14"/>
  <c r="V6" i="13"/>
  <c r="G8" i="13"/>
  <c r="H8" i="13" s="1"/>
  <c r="I8" i="13" s="1"/>
  <c r="J8" i="13" s="1"/>
  <c r="K8" i="13" s="1"/>
  <c r="L7" i="13"/>
  <c r="V7" i="13"/>
  <c r="T8" i="13"/>
  <c r="S8" i="13"/>
  <c r="U8" i="13" s="1"/>
  <c r="F9" i="13"/>
  <c r="Q9" i="13" s="1"/>
  <c r="E10" i="13"/>
  <c r="J7" i="12"/>
  <c r="R8" i="12"/>
  <c r="V6" i="12"/>
  <c r="G8" i="12"/>
  <c r="H8" i="12" s="1"/>
  <c r="I8" i="12" s="1"/>
  <c r="T7" i="12"/>
  <c r="S7" i="12"/>
  <c r="U7" i="12" s="1"/>
  <c r="E10" i="12"/>
  <c r="F9" i="12"/>
  <c r="Q9" i="12" s="1"/>
  <c r="L6" i="12"/>
  <c r="K7" i="12"/>
  <c r="J7" i="11"/>
  <c r="K7" i="11" s="1"/>
  <c r="L6" i="11"/>
  <c r="E10" i="11"/>
  <c r="F9" i="11"/>
  <c r="Q9" i="11" s="1"/>
  <c r="R8" i="11"/>
  <c r="V6" i="11"/>
  <c r="G8" i="11"/>
  <c r="H8" i="11" s="1"/>
  <c r="I8" i="11" s="1"/>
  <c r="T7" i="11"/>
  <c r="S7" i="11"/>
  <c r="U7" i="11" s="1"/>
  <c r="W5" i="10"/>
  <c r="T6" i="10"/>
  <c r="V6" i="10" s="1"/>
  <c r="U6" i="10"/>
  <c r="W4" i="10"/>
  <c r="Y4" i="10" s="1"/>
  <c r="J6" i="10"/>
  <c r="K6" i="10" s="1"/>
  <c r="I7" i="10"/>
  <c r="G8" i="10"/>
  <c r="H8" i="10" s="1"/>
  <c r="T7" i="10"/>
  <c r="V7" i="10" s="1"/>
  <c r="U7" i="10"/>
  <c r="F9" i="10"/>
  <c r="R9" i="10" s="1"/>
  <c r="E10" i="10"/>
  <c r="L5" i="10"/>
  <c r="S8" i="10"/>
  <c r="J6" i="9"/>
  <c r="K6" i="9" s="1"/>
  <c r="W5" i="9"/>
  <c r="E9" i="9"/>
  <c r="F8" i="9"/>
  <c r="R8" i="9" s="1"/>
  <c r="S8" i="9" s="1"/>
  <c r="U6" i="9"/>
  <c r="T6" i="9"/>
  <c r="V6" i="9" s="1"/>
  <c r="G7" i="9"/>
  <c r="H7" i="9" s="1"/>
  <c r="I7" i="9" s="1"/>
  <c r="S7" i="9"/>
  <c r="G7" i="8"/>
  <c r="H7" i="8" s="1"/>
  <c r="I7" i="8" s="1"/>
  <c r="J7" i="8" s="1"/>
  <c r="U6" i="8"/>
  <c r="T6" i="8"/>
  <c r="V6" i="8" s="1"/>
  <c r="E9" i="8"/>
  <c r="F8" i="8"/>
  <c r="R8" i="8" s="1"/>
  <c r="L6" i="8"/>
  <c r="K7" i="8"/>
  <c r="S7" i="8"/>
  <c r="T7" i="7"/>
  <c r="V7" i="7" s="1"/>
  <c r="U7" i="7"/>
  <c r="J6" i="7"/>
  <c r="K6" i="7" s="1"/>
  <c r="E9" i="7"/>
  <c r="F8" i="7"/>
  <c r="R8" i="7" s="1"/>
  <c r="G7" i="7"/>
  <c r="H7" i="7" s="1"/>
  <c r="I7" i="7" s="1"/>
  <c r="W6" i="7"/>
  <c r="H4" i="3"/>
  <c r="I4" i="3" s="1"/>
  <c r="J4" i="3" s="1"/>
  <c r="K4" i="3" s="1"/>
  <c r="L4" i="3" s="1"/>
  <c r="T4" i="3"/>
  <c r="V4" i="3" s="1"/>
  <c r="X4" i="3" s="1"/>
  <c r="U4" i="3"/>
  <c r="G5" i="3"/>
  <c r="H5" i="3" s="1"/>
  <c r="R5" i="3"/>
  <c r="E7" i="3"/>
  <c r="F6" i="3"/>
  <c r="W6" i="8" l="1"/>
  <c r="F10" i="15"/>
  <c r="Q10" i="15" s="1"/>
  <c r="R10" i="15" s="1"/>
  <c r="E11" i="15"/>
  <c r="R9" i="15"/>
  <c r="G9" i="15"/>
  <c r="H9" i="15" s="1"/>
  <c r="I9" i="15" s="1"/>
  <c r="J9" i="15" s="1"/>
  <c r="T8" i="15"/>
  <c r="S8" i="15"/>
  <c r="U8" i="15" s="1"/>
  <c r="K8" i="15"/>
  <c r="L7" i="15"/>
  <c r="F10" i="14"/>
  <c r="Q10" i="14" s="1"/>
  <c r="R10" i="14" s="1"/>
  <c r="E11" i="14"/>
  <c r="G9" i="14"/>
  <c r="H9" i="14" s="1"/>
  <c r="I9" i="14" s="1"/>
  <c r="J9" i="14" s="1"/>
  <c r="K9" i="14" s="1"/>
  <c r="R9" i="14"/>
  <c r="L8" i="14"/>
  <c r="V7" i="14"/>
  <c r="T8" i="14"/>
  <c r="S8" i="14"/>
  <c r="U8" i="14" s="1"/>
  <c r="L8" i="13"/>
  <c r="R9" i="13"/>
  <c r="E11" i="13"/>
  <c r="F10" i="13"/>
  <c r="Q10" i="13" s="1"/>
  <c r="R10" i="13" s="1"/>
  <c r="G9" i="13"/>
  <c r="H9" i="13" s="1"/>
  <c r="I9" i="13" s="1"/>
  <c r="J9" i="13" s="1"/>
  <c r="K9" i="13" s="1"/>
  <c r="V8" i="13"/>
  <c r="J8" i="12"/>
  <c r="E11" i="12"/>
  <c r="F10" i="12"/>
  <c r="Q10" i="12" s="1"/>
  <c r="S8" i="12"/>
  <c r="U8" i="12" s="1"/>
  <c r="T8" i="12"/>
  <c r="R9" i="12"/>
  <c r="G9" i="12"/>
  <c r="H9" i="12" s="1"/>
  <c r="I9" i="12" s="1"/>
  <c r="V7" i="12"/>
  <c r="K8" i="12"/>
  <c r="L7" i="12"/>
  <c r="V7" i="11"/>
  <c r="J8" i="11"/>
  <c r="K8" i="11" s="1"/>
  <c r="R9" i="11"/>
  <c r="T8" i="11"/>
  <c r="S8" i="11"/>
  <c r="U8" i="11" s="1"/>
  <c r="G9" i="11"/>
  <c r="H9" i="11" s="1"/>
  <c r="I9" i="11" s="1"/>
  <c r="L7" i="11"/>
  <c r="E11" i="11"/>
  <c r="F10" i="11"/>
  <c r="Q10" i="11" s="1"/>
  <c r="R10" i="11" s="1"/>
  <c r="L6" i="10"/>
  <c r="J7" i="10"/>
  <c r="K7" i="10" s="1"/>
  <c r="I8" i="10"/>
  <c r="S9" i="10"/>
  <c r="G9" i="10"/>
  <c r="H9" i="10" s="1"/>
  <c r="E11" i="10"/>
  <c r="F10" i="10"/>
  <c r="R10" i="10" s="1"/>
  <c r="W7" i="10"/>
  <c r="U8" i="10"/>
  <c r="T8" i="10"/>
  <c r="V8" i="10" s="1"/>
  <c r="W6" i="10"/>
  <c r="T8" i="9"/>
  <c r="V8" i="9" s="1"/>
  <c r="U8" i="9"/>
  <c r="W8" i="9" s="1"/>
  <c r="J7" i="9"/>
  <c r="K7" i="9" s="1"/>
  <c r="W6" i="9"/>
  <c r="L6" i="9"/>
  <c r="E10" i="9"/>
  <c r="F9" i="9"/>
  <c r="R9" i="9" s="1"/>
  <c r="G8" i="9"/>
  <c r="H8" i="9" s="1"/>
  <c r="I8" i="9" s="1"/>
  <c r="U7" i="9"/>
  <c r="T7" i="9"/>
  <c r="V7" i="9" s="1"/>
  <c r="G8" i="8"/>
  <c r="H8" i="8" s="1"/>
  <c r="I8" i="8" s="1"/>
  <c r="J8" i="8" s="1"/>
  <c r="K8" i="8" s="1"/>
  <c r="T7" i="8"/>
  <c r="V7" i="8" s="1"/>
  <c r="U7" i="8"/>
  <c r="W7" i="8" s="1"/>
  <c r="L7" i="8"/>
  <c r="S8" i="8"/>
  <c r="E10" i="8"/>
  <c r="F9" i="8"/>
  <c r="R9" i="8" s="1"/>
  <c r="J7" i="7"/>
  <c r="K7" i="7" s="1"/>
  <c r="G8" i="7"/>
  <c r="H8" i="7" s="1"/>
  <c r="I8" i="7" s="1"/>
  <c r="S8" i="7"/>
  <c r="E10" i="7"/>
  <c r="F9" i="7"/>
  <c r="R9" i="7" s="1"/>
  <c r="S9" i="7" s="1"/>
  <c r="L6" i="7"/>
  <c r="W7" i="7"/>
  <c r="N4" i="3"/>
  <c r="AM4" i="3" s="1"/>
  <c r="I5" i="3"/>
  <c r="J5" i="3" s="1"/>
  <c r="K5" i="3" s="1"/>
  <c r="L5" i="3" s="1"/>
  <c r="W4" i="3"/>
  <c r="Y4" i="3" s="1"/>
  <c r="S5" i="3"/>
  <c r="G6" i="3"/>
  <c r="H6" i="3" s="1"/>
  <c r="R6" i="3"/>
  <c r="E8" i="3"/>
  <c r="F7" i="3"/>
  <c r="V8" i="11" l="1"/>
  <c r="W7" i="9"/>
  <c r="V8" i="15"/>
  <c r="L8" i="15"/>
  <c r="K9" i="15"/>
  <c r="T9" i="15"/>
  <c r="S9" i="15"/>
  <c r="U9" i="15" s="1"/>
  <c r="F11" i="15"/>
  <c r="Q11" i="15" s="1"/>
  <c r="E12" i="15"/>
  <c r="T10" i="15"/>
  <c r="S10" i="15"/>
  <c r="U10" i="15" s="1"/>
  <c r="I10" i="15"/>
  <c r="J10" i="15" s="1"/>
  <c r="G10" i="15"/>
  <c r="H10" i="15" s="1"/>
  <c r="V8" i="14"/>
  <c r="S10" i="14"/>
  <c r="U10" i="14" s="1"/>
  <c r="T10" i="14"/>
  <c r="L9" i="14"/>
  <c r="T9" i="14"/>
  <c r="S9" i="14"/>
  <c r="U9" i="14" s="1"/>
  <c r="G10" i="14"/>
  <c r="H10" i="14" s="1"/>
  <c r="I10" i="14" s="1"/>
  <c r="E12" i="14"/>
  <c r="F11" i="14"/>
  <c r="Q11" i="14" s="1"/>
  <c r="R11" i="14" s="1"/>
  <c r="T10" i="13"/>
  <c r="S10" i="13"/>
  <c r="U10" i="13" s="1"/>
  <c r="L9" i="13"/>
  <c r="S9" i="13"/>
  <c r="U9" i="13" s="1"/>
  <c r="T9" i="13"/>
  <c r="V9" i="13" s="1"/>
  <c r="G10" i="13"/>
  <c r="H10" i="13" s="1"/>
  <c r="I10" i="13" s="1"/>
  <c r="J10" i="13" s="1"/>
  <c r="K10" i="13" s="1"/>
  <c r="E12" i="13"/>
  <c r="F11" i="13"/>
  <c r="Q11" i="13" s="1"/>
  <c r="R11" i="13" s="1"/>
  <c r="V8" i="12"/>
  <c r="J9" i="12"/>
  <c r="K9" i="12" s="1"/>
  <c r="L8" i="12"/>
  <c r="F11" i="12"/>
  <c r="Q11" i="12" s="1"/>
  <c r="E12" i="12"/>
  <c r="R10" i="12"/>
  <c r="G10" i="12"/>
  <c r="H10" i="12" s="1"/>
  <c r="I10" i="12" s="1"/>
  <c r="T9" i="12"/>
  <c r="S9" i="12"/>
  <c r="U9" i="12" s="1"/>
  <c r="J9" i="11"/>
  <c r="K9" i="11" s="1"/>
  <c r="T10" i="11"/>
  <c r="S10" i="11"/>
  <c r="U10" i="11" s="1"/>
  <c r="E12" i="11"/>
  <c r="F11" i="11"/>
  <c r="Q11" i="11" s="1"/>
  <c r="R11" i="11" s="1"/>
  <c r="L8" i="11"/>
  <c r="S9" i="11"/>
  <c r="U9" i="11" s="1"/>
  <c r="T9" i="11"/>
  <c r="G10" i="11"/>
  <c r="H10" i="11" s="1"/>
  <c r="I10" i="11" s="1"/>
  <c r="L7" i="10"/>
  <c r="G10" i="10"/>
  <c r="H10" i="10" s="1"/>
  <c r="U9" i="10"/>
  <c r="T9" i="10"/>
  <c r="V9" i="10" s="1"/>
  <c r="W8" i="10"/>
  <c r="E12" i="10"/>
  <c r="F11" i="10"/>
  <c r="R11" i="10" s="1"/>
  <c r="J8" i="10"/>
  <c r="K8" i="10" s="1"/>
  <c r="I9" i="10"/>
  <c r="S10" i="10"/>
  <c r="J8" i="9"/>
  <c r="K8" i="9" s="1"/>
  <c r="S9" i="9"/>
  <c r="E11" i="9"/>
  <c r="F10" i="9"/>
  <c r="R10" i="9" s="1"/>
  <c r="G9" i="9"/>
  <c r="H9" i="9" s="1"/>
  <c r="I9" i="9" s="1"/>
  <c r="L7" i="9"/>
  <c r="G9" i="8"/>
  <c r="H9" i="8" s="1"/>
  <c r="I9" i="8" s="1"/>
  <c r="J9" i="8" s="1"/>
  <c r="K9" i="8" s="1"/>
  <c r="L8" i="8"/>
  <c r="S9" i="8"/>
  <c r="U8" i="8"/>
  <c r="T8" i="8"/>
  <c r="V8" i="8" s="1"/>
  <c r="E11" i="8"/>
  <c r="F10" i="8"/>
  <c r="R10" i="8" s="1"/>
  <c r="U9" i="7"/>
  <c r="T9" i="7"/>
  <c r="V9" i="7" s="1"/>
  <c r="J8" i="7"/>
  <c r="K8" i="7" s="1"/>
  <c r="U8" i="7"/>
  <c r="T8" i="7"/>
  <c r="V8" i="7" s="1"/>
  <c r="G9" i="7"/>
  <c r="H9" i="7" s="1"/>
  <c r="I9" i="7" s="1"/>
  <c r="L7" i="7"/>
  <c r="E11" i="7"/>
  <c r="F10" i="7"/>
  <c r="R10" i="7" s="1"/>
  <c r="I6" i="3"/>
  <c r="J6" i="3" s="1"/>
  <c r="K6" i="3" s="1"/>
  <c r="L6" i="3" s="1"/>
  <c r="S6" i="3"/>
  <c r="U5" i="3"/>
  <c r="T5" i="3"/>
  <c r="V5" i="3" s="1"/>
  <c r="G7" i="3"/>
  <c r="H7" i="3" s="1"/>
  <c r="R7" i="3"/>
  <c r="S7" i="3" s="1"/>
  <c r="E9" i="3"/>
  <c r="F8" i="3"/>
  <c r="R8" i="3" s="1"/>
  <c r="W8" i="8" l="1"/>
  <c r="V9" i="15"/>
  <c r="V10" i="15"/>
  <c r="G11" i="15"/>
  <c r="H11" i="15" s="1"/>
  <c r="I11" i="15" s="1"/>
  <c r="L9" i="15"/>
  <c r="K10" i="15"/>
  <c r="E13" i="15"/>
  <c r="F12" i="15"/>
  <c r="Q12" i="15" s="1"/>
  <c r="R11" i="15"/>
  <c r="G11" i="14"/>
  <c r="H11" i="14" s="1"/>
  <c r="I11" i="14" s="1"/>
  <c r="J11" i="14" s="1"/>
  <c r="J10" i="14"/>
  <c r="K10" i="14" s="1"/>
  <c r="V9" i="14"/>
  <c r="T11" i="14"/>
  <c r="V11" i="14" s="1"/>
  <c r="S11" i="14"/>
  <c r="U11" i="14" s="1"/>
  <c r="V10" i="14"/>
  <c r="E13" i="14"/>
  <c r="F12" i="14"/>
  <c r="Q12" i="14" s="1"/>
  <c r="G11" i="13"/>
  <c r="H11" i="13" s="1"/>
  <c r="I11" i="13" s="1"/>
  <c r="J11" i="13" s="1"/>
  <c r="K11" i="13" s="1"/>
  <c r="L10" i="13"/>
  <c r="T11" i="13"/>
  <c r="S11" i="13"/>
  <c r="U11" i="13" s="1"/>
  <c r="F12" i="13"/>
  <c r="Q12" i="13" s="1"/>
  <c r="E13" i="13"/>
  <c r="V10" i="13"/>
  <c r="L9" i="12"/>
  <c r="J10" i="12"/>
  <c r="K10" i="12" s="1"/>
  <c r="V9" i="12"/>
  <c r="G11" i="12"/>
  <c r="H11" i="12" s="1"/>
  <c r="I11" i="12" s="1"/>
  <c r="T10" i="12"/>
  <c r="V10" i="12" s="1"/>
  <c r="S10" i="12"/>
  <c r="U10" i="12" s="1"/>
  <c r="F12" i="12"/>
  <c r="Q12" i="12" s="1"/>
  <c r="R12" i="12" s="1"/>
  <c r="E13" i="12"/>
  <c r="R11" i="12"/>
  <c r="S11" i="11"/>
  <c r="U11" i="11" s="1"/>
  <c r="T11" i="11"/>
  <c r="J10" i="11"/>
  <c r="K10" i="11" s="1"/>
  <c r="L9" i="11"/>
  <c r="F12" i="11"/>
  <c r="Q12" i="11" s="1"/>
  <c r="E13" i="11"/>
  <c r="V10" i="11"/>
  <c r="V9" i="11"/>
  <c r="G11" i="11"/>
  <c r="H11" i="11" s="1"/>
  <c r="I11" i="11" s="1"/>
  <c r="L8" i="10"/>
  <c r="T10" i="10"/>
  <c r="V10" i="10" s="1"/>
  <c r="U10" i="10"/>
  <c r="J9" i="10"/>
  <c r="K9" i="10" s="1"/>
  <c r="I10" i="10"/>
  <c r="F12" i="10"/>
  <c r="R12" i="10" s="1"/>
  <c r="E13" i="10"/>
  <c r="G11" i="10"/>
  <c r="H11" i="10" s="1"/>
  <c r="S11" i="10"/>
  <c r="W9" i="10"/>
  <c r="J9" i="9"/>
  <c r="K9" i="9" s="1"/>
  <c r="L8" i="9"/>
  <c r="G10" i="9"/>
  <c r="H10" i="9" s="1"/>
  <c r="I10" i="9" s="1"/>
  <c r="J10" i="9" s="1"/>
  <c r="F11" i="9"/>
  <c r="R11" i="9" s="1"/>
  <c r="E12" i="9"/>
  <c r="S10" i="9"/>
  <c r="U9" i="9"/>
  <c r="T9" i="9"/>
  <c r="V9" i="9" s="1"/>
  <c r="L9" i="8"/>
  <c r="G10" i="8"/>
  <c r="H10" i="8" s="1"/>
  <c r="I10" i="8" s="1"/>
  <c r="J10" i="8" s="1"/>
  <c r="K10" i="8" s="1"/>
  <c r="E12" i="8"/>
  <c r="F11" i="8"/>
  <c r="R11" i="8" s="1"/>
  <c r="S11" i="8" s="1"/>
  <c r="U9" i="8"/>
  <c r="T9" i="8"/>
  <c r="V9" i="8" s="1"/>
  <c r="S10" i="8"/>
  <c r="W8" i="7"/>
  <c r="W9" i="7"/>
  <c r="J9" i="7"/>
  <c r="K9" i="7" s="1"/>
  <c r="S10" i="7"/>
  <c r="L8" i="7"/>
  <c r="E12" i="7"/>
  <c r="F11" i="7"/>
  <c r="R11" i="7" s="1"/>
  <c r="G10" i="7"/>
  <c r="H10" i="7" s="1"/>
  <c r="I10" i="7" s="1"/>
  <c r="I7" i="3"/>
  <c r="J7" i="3" s="1"/>
  <c r="K7" i="3" s="1"/>
  <c r="L7" i="3" s="1"/>
  <c r="T7" i="3"/>
  <c r="V7" i="3" s="1"/>
  <c r="U7" i="3"/>
  <c r="T6" i="3"/>
  <c r="V6" i="3" s="1"/>
  <c r="U6" i="3"/>
  <c r="S8" i="3"/>
  <c r="F9" i="3"/>
  <c r="R9" i="3" s="1"/>
  <c r="W5" i="3"/>
  <c r="G8" i="3"/>
  <c r="H8" i="3" s="1"/>
  <c r="E10" i="3"/>
  <c r="W10" i="10" l="1"/>
  <c r="J11" i="15"/>
  <c r="S11" i="15"/>
  <c r="U11" i="15" s="1"/>
  <c r="T11" i="15"/>
  <c r="V11" i="15" s="1"/>
  <c r="E14" i="15"/>
  <c r="F13" i="15"/>
  <c r="Q13" i="15" s="1"/>
  <c r="R13" i="15" s="1"/>
  <c r="R12" i="15"/>
  <c r="G12" i="15"/>
  <c r="H12" i="15" s="1"/>
  <c r="I12" i="15" s="1"/>
  <c r="K11" i="15"/>
  <c r="L10" i="15"/>
  <c r="F13" i="14"/>
  <c r="Q13" i="14" s="1"/>
  <c r="E14" i="14"/>
  <c r="G12" i="14"/>
  <c r="H12" i="14" s="1"/>
  <c r="I12" i="14" s="1"/>
  <c r="J12" i="14" s="1"/>
  <c r="R12" i="14"/>
  <c r="K11" i="14"/>
  <c r="L10" i="14"/>
  <c r="F13" i="13"/>
  <c r="Q13" i="13" s="1"/>
  <c r="R13" i="13" s="1"/>
  <c r="E14" i="13"/>
  <c r="V11" i="13"/>
  <c r="G12" i="13"/>
  <c r="H12" i="13" s="1"/>
  <c r="I12" i="13" s="1"/>
  <c r="J12" i="13" s="1"/>
  <c r="K12" i="13" s="1"/>
  <c r="L11" i="13"/>
  <c r="R12" i="13"/>
  <c r="J11" i="12"/>
  <c r="K11" i="12" s="1"/>
  <c r="S12" i="12"/>
  <c r="U12" i="12" s="1"/>
  <c r="T12" i="12"/>
  <c r="L10" i="12"/>
  <c r="F13" i="12"/>
  <c r="Q13" i="12" s="1"/>
  <c r="E14" i="12"/>
  <c r="G12" i="12"/>
  <c r="H12" i="12" s="1"/>
  <c r="I12" i="12" s="1"/>
  <c r="T11" i="12"/>
  <c r="S11" i="12"/>
  <c r="U11" i="12" s="1"/>
  <c r="J11" i="11"/>
  <c r="K11" i="11" s="1"/>
  <c r="L10" i="11"/>
  <c r="F13" i="11"/>
  <c r="Q13" i="11" s="1"/>
  <c r="E14" i="11"/>
  <c r="R12" i="11"/>
  <c r="G12" i="11"/>
  <c r="H12" i="11" s="1"/>
  <c r="I12" i="11" s="1"/>
  <c r="V11" i="11"/>
  <c r="E14" i="10"/>
  <c r="F13" i="10"/>
  <c r="R13" i="10" s="1"/>
  <c r="J10" i="10"/>
  <c r="K10" i="10" s="1"/>
  <c r="I11" i="10"/>
  <c r="U11" i="10"/>
  <c r="T11" i="10"/>
  <c r="V11" i="10" s="1"/>
  <c r="G12" i="10"/>
  <c r="H12" i="10" s="1"/>
  <c r="S12" i="10"/>
  <c r="L9" i="10"/>
  <c r="K10" i="9"/>
  <c r="L9" i="9"/>
  <c r="W9" i="9"/>
  <c r="U10" i="9"/>
  <c r="T10" i="9"/>
  <c r="V10" i="9" s="1"/>
  <c r="G11" i="9"/>
  <c r="H11" i="9" s="1"/>
  <c r="I11" i="9" s="1"/>
  <c r="J11" i="9" s="1"/>
  <c r="S11" i="9"/>
  <c r="E13" i="9"/>
  <c r="F12" i="9"/>
  <c r="R12" i="9" s="1"/>
  <c r="W9" i="8"/>
  <c r="G11" i="8"/>
  <c r="H11" i="8" s="1"/>
  <c r="I11" i="8" s="1"/>
  <c r="J11" i="8" s="1"/>
  <c r="K11" i="8" s="1"/>
  <c r="L10" i="8"/>
  <c r="U10" i="8"/>
  <c r="T10" i="8"/>
  <c r="V10" i="8" s="1"/>
  <c r="E13" i="8"/>
  <c r="F12" i="8"/>
  <c r="R12" i="8" s="1"/>
  <c r="T11" i="8"/>
  <c r="V11" i="8" s="1"/>
  <c r="U11" i="8"/>
  <c r="L9" i="7"/>
  <c r="J10" i="7"/>
  <c r="K10" i="7" s="1"/>
  <c r="G11" i="7"/>
  <c r="H11" i="7" s="1"/>
  <c r="I11" i="7" s="1"/>
  <c r="E13" i="7"/>
  <c r="F12" i="7"/>
  <c r="R12" i="7" s="1"/>
  <c r="S11" i="7"/>
  <c r="U10" i="7"/>
  <c r="T10" i="7"/>
  <c r="V10" i="7" s="1"/>
  <c r="I8" i="3"/>
  <c r="J8" i="3" s="1"/>
  <c r="K8" i="3" s="1"/>
  <c r="L8" i="3" s="1"/>
  <c r="W6" i="3"/>
  <c r="W7" i="3"/>
  <c r="S9" i="3"/>
  <c r="U8" i="3"/>
  <c r="T8" i="3"/>
  <c r="V8" i="3" s="1"/>
  <c r="G9" i="3"/>
  <c r="H9" i="3" s="1"/>
  <c r="E11" i="3"/>
  <c r="F10" i="3"/>
  <c r="R10" i="3" s="1"/>
  <c r="V11" i="12" l="1"/>
  <c r="W11" i="8"/>
  <c r="T13" i="15"/>
  <c r="S13" i="15"/>
  <c r="U13" i="15" s="1"/>
  <c r="J12" i="15"/>
  <c r="K12" i="15" s="1"/>
  <c r="T12" i="15"/>
  <c r="S12" i="15"/>
  <c r="U12" i="15" s="1"/>
  <c r="E15" i="15"/>
  <c r="F14" i="15"/>
  <c r="Q14" i="15" s="1"/>
  <c r="L11" i="15"/>
  <c r="G13" i="15"/>
  <c r="H13" i="15" s="1"/>
  <c r="I13" i="15" s="1"/>
  <c r="T12" i="14"/>
  <c r="S12" i="14"/>
  <c r="U12" i="14" s="1"/>
  <c r="L11" i="14"/>
  <c r="K12" i="14"/>
  <c r="G13" i="14"/>
  <c r="H13" i="14" s="1"/>
  <c r="I13" i="14" s="1"/>
  <c r="R13" i="14"/>
  <c r="F14" i="14"/>
  <c r="Q14" i="14" s="1"/>
  <c r="E15" i="14"/>
  <c r="L12" i="13"/>
  <c r="S13" i="13"/>
  <c r="U13" i="13" s="1"/>
  <c r="T13" i="13"/>
  <c r="G13" i="13"/>
  <c r="H13" i="13" s="1"/>
  <c r="I13" i="13" s="1"/>
  <c r="T12" i="13"/>
  <c r="S12" i="13"/>
  <c r="U12" i="13" s="1"/>
  <c r="F14" i="13"/>
  <c r="Q14" i="13" s="1"/>
  <c r="R14" i="13" s="1"/>
  <c r="E15" i="13"/>
  <c r="L11" i="12"/>
  <c r="J12" i="12"/>
  <c r="K12" i="12" s="1"/>
  <c r="F14" i="12"/>
  <c r="Q14" i="12" s="1"/>
  <c r="R14" i="12" s="1"/>
  <c r="E15" i="12"/>
  <c r="V12" i="12"/>
  <c r="R13" i="12"/>
  <c r="G13" i="12"/>
  <c r="H13" i="12" s="1"/>
  <c r="I13" i="12" s="1"/>
  <c r="L11" i="11"/>
  <c r="J12" i="11"/>
  <c r="K12" i="11" s="1"/>
  <c r="G13" i="11"/>
  <c r="H13" i="11" s="1"/>
  <c r="I13" i="11" s="1"/>
  <c r="F14" i="11"/>
  <c r="Q14" i="11" s="1"/>
  <c r="E15" i="11"/>
  <c r="T12" i="11"/>
  <c r="S12" i="11"/>
  <c r="U12" i="11" s="1"/>
  <c r="R13" i="11"/>
  <c r="L10" i="10"/>
  <c r="W11" i="10"/>
  <c r="S13" i="10"/>
  <c r="U12" i="10"/>
  <c r="T12" i="10"/>
  <c r="V12" i="10" s="1"/>
  <c r="F14" i="10"/>
  <c r="R14" i="10" s="1"/>
  <c r="E15" i="10"/>
  <c r="G13" i="10"/>
  <c r="H13" i="10" s="1"/>
  <c r="J11" i="10"/>
  <c r="K11" i="10" s="1"/>
  <c r="I12" i="10"/>
  <c r="E14" i="9"/>
  <c r="F13" i="9"/>
  <c r="R13" i="9" s="1"/>
  <c r="S13" i="9" s="1"/>
  <c r="W10" i="9"/>
  <c r="S12" i="9"/>
  <c r="G12" i="9"/>
  <c r="H12" i="9" s="1"/>
  <c r="I12" i="9" s="1"/>
  <c r="J12" i="9" s="1"/>
  <c r="U11" i="9"/>
  <c r="T11" i="9"/>
  <c r="V11" i="9" s="1"/>
  <c r="K11" i="9"/>
  <c r="L10" i="9"/>
  <c r="W10" i="8"/>
  <c r="E14" i="8"/>
  <c r="F13" i="8"/>
  <c r="R13" i="8" s="1"/>
  <c r="S13" i="8" s="1"/>
  <c r="L11" i="8"/>
  <c r="S12" i="8"/>
  <c r="G12" i="8"/>
  <c r="H12" i="8" s="1"/>
  <c r="I12" i="8" s="1"/>
  <c r="J12" i="8" s="1"/>
  <c r="K12" i="8" s="1"/>
  <c r="J11" i="7"/>
  <c r="K11" i="7" s="1"/>
  <c r="L10" i="7"/>
  <c r="U11" i="7"/>
  <c r="T11" i="7"/>
  <c r="V11" i="7" s="1"/>
  <c r="E14" i="7"/>
  <c r="F13" i="7"/>
  <c r="R13" i="7" s="1"/>
  <c r="G12" i="7"/>
  <c r="H12" i="7" s="1"/>
  <c r="I12" i="7" s="1"/>
  <c r="W10" i="7"/>
  <c r="S12" i="7"/>
  <c r="I9" i="3"/>
  <c r="J9" i="3" s="1"/>
  <c r="K9" i="3" s="1"/>
  <c r="L9" i="3" s="1"/>
  <c r="W8" i="3"/>
  <c r="U9" i="3"/>
  <c r="T9" i="3"/>
  <c r="V9" i="3" s="1"/>
  <c r="S10" i="3"/>
  <c r="G10" i="3"/>
  <c r="H10" i="3" s="1"/>
  <c r="E12" i="3"/>
  <c r="F11" i="3"/>
  <c r="V13" i="13" l="1"/>
  <c r="V13" i="15"/>
  <c r="L12" i="15"/>
  <c r="J13" i="15"/>
  <c r="K13" i="15" s="1"/>
  <c r="R14" i="15"/>
  <c r="G14" i="15"/>
  <c r="H14" i="15" s="1"/>
  <c r="I14" i="15" s="1"/>
  <c r="E16" i="15"/>
  <c r="F15" i="15"/>
  <c r="Q15" i="15" s="1"/>
  <c r="R15" i="15" s="1"/>
  <c r="V12" i="15"/>
  <c r="J13" i="14"/>
  <c r="V12" i="14"/>
  <c r="T13" i="14"/>
  <c r="S13" i="14"/>
  <c r="U13" i="14" s="1"/>
  <c r="L12" i="14"/>
  <c r="K13" i="14"/>
  <c r="G14" i="14"/>
  <c r="H14" i="14" s="1"/>
  <c r="I14" i="14" s="1"/>
  <c r="F15" i="14"/>
  <c r="Q15" i="14" s="1"/>
  <c r="E16" i="14"/>
  <c r="R14" i="14"/>
  <c r="G14" i="13"/>
  <c r="H14" i="13" s="1"/>
  <c r="I14" i="13" s="1"/>
  <c r="J14" i="13" s="1"/>
  <c r="V12" i="13"/>
  <c r="J13" i="13"/>
  <c r="K13" i="13" s="1"/>
  <c r="S14" i="13"/>
  <c r="U14" i="13" s="1"/>
  <c r="T14" i="13"/>
  <c r="F15" i="13"/>
  <c r="Q15" i="13" s="1"/>
  <c r="R15" i="13" s="1"/>
  <c r="E16" i="13"/>
  <c r="J13" i="12"/>
  <c r="K13" i="12" s="1"/>
  <c r="T14" i="12"/>
  <c r="S14" i="12"/>
  <c r="U14" i="12" s="1"/>
  <c r="L12" i="12"/>
  <c r="T13" i="12"/>
  <c r="S13" i="12"/>
  <c r="U13" i="12" s="1"/>
  <c r="G14" i="12"/>
  <c r="H14" i="12" s="1"/>
  <c r="I14" i="12" s="1"/>
  <c r="E16" i="12"/>
  <c r="F15" i="12"/>
  <c r="Q15" i="12" s="1"/>
  <c r="R15" i="12" s="1"/>
  <c r="V12" i="11"/>
  <c r="J13" i="11"/>
  <c r="K13" i="11" s="1"/>
  <c r="L12" i="11"/>
  <c r="S13" i="11"/>
  <c r="U13" i="11" s="1"/>
  <c r="T13" i="11"/>
  <c r="E16" i="11"/>
  <c r="F15" i="11"/>
  <c r="Q15" i="11" s="1"/>
  <c r="R14" i="11"/>
  <c r="G14" i="11"/>
  <c r="H14" i="11" s="1"/>
  <c r="I14" i="11" s="1"/>
  <c r="L11" i="10"/>
  <c r="S14" i="10"/>
  <c r="J12" i="10"/>
  <c r="K12" i="10" s="1"/>
  <c r="I13" i="10"/>
  <c r="E16" i="10"/>
  <c r="F15" i="10"/>
  <c r="R15" i="10" s="1"/>
  <c r="S15" i="10" s="1"/>
  <c r="G14" i="10"/>
  <c r="H14" i="10" s="1"/>
  <c r="W12" i="10"/>
  <c r="T13" i="10"/>
  <c r="V13" i="10" s="1"/>
  <c r="U13" i="10"/>
  <c r="U13" i="9"/>
  <c r="T13" i="9"/>
  <c r="V13" i="9" s="1"/>
  <c r="K12" i="9"/>
  <c r="L11" i="9"/>
  <c r="T12" i="9"/>
  <c r="V12" i="9" s="1"/>
  <c r="U12" i="9"/>
  <c r="W12" i="9" s="1"/>
  <c r="W11" i="9"/>
  <c r="E15" i="9"/>
  <c r="F14" i="9"/>
  <c r="R14" i="9" s="1"/>
  <c r="S14" i="9" s="1"/>
  <c r="G13" i="9"/>
  <c r="H13" i="9" s="1"/>
  <c r="I13" i="9" s="1"/>
  <c r="J13" i="9" s="1"/>
  <c r="U13" i="8"/>
  <c r="T13" i="8"/>
  <c r="V13" i="8" s="1"/>
  <c r="L12" i="8"/>
  <c r="U12" i="8"/>
  <c r="T12" i="8"/>
  <c r="V12" i="8" s="1"/>
  <c r="G13" i="8"/>
  <c r="H13" i="8" s="1"/>
  <c r="I13" i="8" s="1"/>
  <c r="J13" i="8" s="1"/>
  <c r="K13" i="8" s="1"/>
  <c r="E15" i="8"/>
  <c r="F14" i="8"/>
  <c r="R14" i="8" s="1"/>
  <c r="S14" i="8" s="1"/>
  <c r="L11" i="7"/>
  <c r="J12" i="7"/>
  <c r="K12" i="7" s="1"/>
  <c r="T12" i="7"/>
  <c r="V12" i="7" s="1"/>
  <c r="U12" i="7"/>
  <c r="W11" i="7"/>
  <c r="G13" i="7"/>
  <c r="H13" i="7" s="1"/>
  <c r="I13" i="7" s="1"/>
  <c r="S13" i="7"/>
  <c r="E15" i="7"/>
  <c r="F14" i="7"/>
  <c r="R14" i="7" s="1"/>
  <c r="I10" i="3"/>
  <c r="J10" i="3" s="1"/>
  <c r="K10" i="3" s="1"/>
  <c r="L10" i="3" s="1"/>
  <c r="T10" i="3"/>
  <c r="V10" i="3" s="1"/>
  <c r="U10" i="3"/>
  <c r="W9" i="3"/>
  <c r="G11" i="3"/>
  <c r="H11" i="3" s="1"/>
  <c r="I11" i="3" s="1"/>
  <c r="J11" i="3" s="1"/>
  <c r="K11" i="3" s="1"/>
  <c r="L11" i="3" s="1"/>
  <c r="R11" i="3"/>
  <c r="E13" i="3"/>
  <c r="F12" i="3"/>
  <c r="W13" i="8" l="1"/>
  <c r="W13" i="9"/>
  <c r="J14" i="15"/>
  <c r="K14" i="15" s="1"/>
  <c r="T15" i="15"/>
  <c r="S15" i="15"/>
  <c r="U15" i="15" s="1"/>
  <c r="L13" i="15"/>
  <c r="F16" i="15"/>
  <c r="Q16" i="15" s="1"/>
  <c r="R16" i="15" s="1"/>
  <c r="E17" i="15"/>
  <c r="G15" i="15"/>
  <c r="H15" i="15" s="1"/>
  <c r="I15" i="15" s="1"/>
  <c r="T14" i="15"/>
  <c r="S14" i="15"/>
  <c r="U14" i="15" s="1"/>
  <c r="J14" i="14"/>
  <c r="K14" i="14" s="1"/>
  <c r="F16" i="14"/>
  <c r="Q16" i="14" s="1"/>
  <c r="E17" i="14"/>
  <c r="R15" i="14"/>
  <c r="G15" i="14"/>
  <c r="H15" i="14" s="1"/>
  <c r="I15" i="14" s="1"/>
  <c r="L13" i="14"/>
  <c r="V13" i="14"/>
  <c r="T14" i="14"/>
  <c r="S14" i="14"/>
  <c r="U14" i="14" s="1"/>
  <c r="S15" i="13"/>
  <c r="U15" i="13" s="1"/>
  <c r="T15" i="13"/>
  <c r="V15" i="13" s="1"/>
  <c r="G15" i="13"/>
  <c r="H15" i="13" s="1"/>
  <c r="I15" i="13" s="1"/>
  <c r="J15" i="13" s="1"/>
  <c r="V14" i="13"/>
  <c r="E17" i="13"/>
  <c r="F16" i="13"/>
  <c r="Q16" i="13" s="1"/>
  <c r="K14" i="13"/>
  <c r="L13" i="13"/>
  <c r="V14" i="12"/>
  <c r="J14" i="12"/>
  <c r="T15" i="12"/>
  <c r="S15" i="12"/>
  <c r="U15" i="12" s="1"/>
  <c r="V13" i="12"/>
  <c r="E17" i="12"/>
  <c r="F16" i="12"/>
  <c r="Q16" i="12" s="1"/>
  <c r="G15" i="12"/>
  <c r="H15" i="12" s="1"/>
  <c r="I15" i="12" s="1"/>
  <c r="L13" i="12"/>
  <c r="K14" i="12"/>
  <c r="V13" i="11"/>
  <c r="J14" i="11"/>
  <c r="K14" i="11" s="1"/>
  <c r="L13" i="11"/>
  <c r="S14" i="11"/>
  <c r="U14" i="11" s="1"/>
  <c r="T14" i="11"/>
  <c r="R15" i="11"/>
  <c r="G15" i="11"/>
  <c r="H15" i="11" s="1"/>
  <c r="I15" i="11" s="1"/>
  <c r="E17" i="11"/>
  <c r="F16" i="11"/>
  <c r="Q16" i="11" s="1"/>
  <c r="L12" i="10"/>
  <c r="T15" i="10"/>
  <c r="V15" i="10" s="1"/>
  <c r="U15" i="10"/>
  <c r="U14" i="10"/>
  <c r="T14" i="10"/>
  <c r="V14" i="10" s="1"/>
  <c r="E17" i="10"/>
  <c r="F16" i="10"/>
  <c r="R16" i="10" s="1"/>
  <c r="W13" i="10"/>
  <c r="G15" i="10"/>
  <c r="H15" i="10" s="1"/>
  <c r="J13" i="10"/>
  <c r="K13" i="10" s="1"/>
  <c r="I14" i="10"/>
  <c r="U14" i="9"/>
  <c r="T14" i="9"/>
  <c r="V14" i="9" s="1"/>
  <c r="E16" i="9"/>
  <c r="F15" i="9"/>
  <c r="R15" i="9" s="1"/>
  <c r="S15" i="9" s="1"/>
  <c r="G14" i="9"/>
  <c r="H14" i="9" s="1"/>
  <c r="I14" i="9" s="1"/>
  <c r="K13" i="9"/>
  <c r="L12" i="9"/>
  <c r="G14" i="8"/>
  <c r="H14" i="8" s="1"/>
  <c r="I14" i="8" s="1"/>
  <c r="J14" i="8" s="1"/>
  <c r="K14" i="8" s="1"/>
  <c r="L13" i="8"/>
  <c r="W12" i="8"/>
  <c r="U14" i="8"/>
  <c r="T14" i="8"/>
  <c r="V14" i="8" s="1"/>
  <c r="E16" i="8"/>
  <c r="F15" i="8"/>
  <c r="R15" i="8" s="1"/>
  <c r="J13" i="7"/>
  <c r="K13" i="7" s="1"/>
  <c r="L12" i="7"/>
  <c r="U13" i="7"/>
  <c r="T13" i="7"/>
  <c r="V13" i="7" s="1"/>
  <c r="G14" i="7"/>
  <c r="H14" i="7" s="1"/>
  <c r="I14" i="7" s="1"/>
  <c r="E16" i="7"/>
  <c r="F15" i="7"/>
  <c r="R15" i="7" s="1"/>
  <c r="S14" i="7"/>
  <c r="W12" i="7"/>
  <c r="W10" i="3"/>
  <c r="S11" i="3"/>
  <c r="G12" i="3"/>
  <c r="H12" i="3" s="1"/>
  <c r="I12" i="3" s="1"/>
  <c r="J12" i="3" s="1"/>
  <c r="K12" i="3" s="1"/>
  <c r="L12" i="3" s="1"/>
  <c r="R12" i="3"/>
  <c r="S12" i="3" s="1"/>
  <c r="E14" i="3"/>
  <c r="F13" i="3"/>
  <c r="V15" i="15" l="1"/>
  <c r="T16" i="15"/>
  <c r="S16" i="15"/>
  <c r="U16" i="15" s="1"/>
  <c r="L14" i="15"/>
  <c r="J15" i="15"/>
  <c r="K15" i="15" s="1"/>
  <c r="F17" i="15"/>
  <c r="Q17" i="15" s="1"/>
  <c r="R17" i="15" s="1"/>
  <c r="E18" i="15"/>
  <c r="G16" i="15"/>
  <c r="H16" i="15" s="1"/>
  <c r="I16" i="15" s="1"/>
  <c r="V14" i="15"/>
  <c r="V14" i="14"/>
  <c r="J15" i="14"/>
  <c r="E18" i="14"/>
  <c r="F17" i="14"/>
  <c r="Q17" i="14" s="1"/>
  <c r="R16" i="14"/>
  <c r="L14" i="14"/>
  <c r="K15" i="14"/>
  <c r="T15" i="14"/>
  <c r="S15" i="14"/>
  <c r="U15" i="14" s="1"/>
  <c r="G16" i="14"/>
  <c r="H16" i="14" s="1"/>
  <c r="I16" i="14" s="1"/>
  <c r="E18" i="13"/>
  <c r="F17" i="13"/>
  <c r="Q17" i="13" s="1"/>
  <c r="G16" i="13"/>
  <c r="H16" i="13" s="1"/>
  <c r="I16" i="13" s="1"/>
  <c r="K15" i="13"/>
  <c r="L14" i="13"/>
  <c r="R16" i="13"/>
  <c r="V15" i="12"/>
  <c r="J15" i="12"/>
  <c r="F17" i="12"/>
  <c r="Q17" i="12" s="1"/>
  <c r="E18" i="12"/>
  <c r="L14" i="12"/>
  <c r="K15" i="12"/>
  <c r="G16" i="12"/>
  <c r="H16" i="12" s="1"/>
  <c r="I16" i="12" s="1"/>
  <c r="R16" i="12"/>
  <c r="L14" i="11"/>
  <c r="J15" i="11"/>
  <c r="K15" i="11" s="1"/>
  <c r="E18" i="11"/>
  <c r="F17" i="11"/>
  <c r="Q17" i="11" s="1"/>
  <c r="G16" i="11"/>
  <c r="H16" i="11" s="1"/>
  <c r="I16" i="11" s="1"/>
  <c r="S15" i="11"/>
  <c r="U15" i="11" s="1"/>
  <c r="T15" i="11"/>
  <c r="V15" i="11" s="1"/>
  <c r="V14" i="11"/>
  <c r="R16" i="11"/>
  <c r="L13" i="10"/>
  <c r="G16" i="10"/>
  <c r="H16" i="10" s="1"/>
  <c r="W15" i="10"/>
  <c r="W14" i="10"/>
  <c r="S16" i="10"/>
  <c r="J14" i="10"/>
  <c r="K14" i="10" s="1"/>
  <c r="I15" i="10"/>
  <c r="E18" i="10"/>
  <c r="F17" i="10"/>
  <c r="R17" i="10" s="1"/>
  <c r="U15" i="9"/>
  <c r="T15" i="9"/>
  <c r="V15" i="9" s="1"/>
  <c r="J14" i="9"/>
  <c r="W14" i="9"/>
  <c r="E17" i="9"/>
  <c r="F16" i="9"/>
  <c r="R16" i="9" s="1"/>
  <c r="K14" i="9"/>
  <c r="L13" i="9"/>
  <c r="G15" i="9"/>
  <c r="H15" i="9" s="1"/>
  <c r="I15" i="9" s="1"/>
  <c r="L14" i="8"/>
  <c r="E17" i="8"/>
  <c r="F16" i="8"/>
  <c r="R16" i="8" s="1"/>
  <c r="G15" i="8"/>
  <c r="H15" i="8" s="1"/>
  <c r="I15" i="8" s="1"/>
  <c r="J15" i="8" s="1"/>
  <c r="K15" i="8" s="1"/>
  <c r="S15" i="8"/>
  <c r="W14" i="8"/>
  <c r="W13" i="7"/>
  <c r="J14" i="7"/>
  <c r="K14" i="7" s="1"/>
  <c r="L13" i="7"/>
  <c r="G15" i="7"/>
  <c r="H15" i="7" s="1"/>
  <c r="I15" i="7" s="1"/>
  <c r="T14" i="7"/>
  <c r="V14" i="7" s="1"/>
  <c r="U14" i="7"/>
  <c r="W14" i="7" s="1"/>
  <c r="S15" i="7"/>
  <c r="E17" i="7"/>
  <c r="F16" i="7"/>
  <c r="R16" i="7" s="1"/>
  <c r="S16" i="7" s="1"/>
  <c r="U12" i="3"/>
  <c r="T12" i="3"/>
  <c r="V12" i="3" s="1"/>
  <c r="T11" i="3"/>
  <c r="V11" i="3" s="1"/>
  <c r="U11" i="3"/>
  <c r="G13" i="3"/>
  <c r="H13" i="3" s="1"/>
  <c r="I13" i="3" s="1"/>
  <c r="J13" i="3" s="1"/>
  <c r="K13" i="3" s="1"/>
  <c r="L13" i="3" s="1"/>
  <c r="R13" i="3"/>
  <c r="S13" i="3" s="1"/>
  <c r="E15" i="3"/>
  <c r="F14" i="3"/>
  <c r="R17" i="11" l="1"/>
  <c r="S17" i="15"/>
  <c r="U17" i="15" s="1"/>
  <c r="T17" i="15"/>
  <c r="L15" i="15"/>
  <c r="J16" i="15"/>
  <c r="K16" i="15" s="1"/>
  <c r="F18" i="15"/>
  <c r="Q18" i="15" s="1"/>
  <c r="R18" i="15" s="1"/>
  <c r="E19" i="15"/>
  <c r="G17" i="15"/>
  <c r="H17" i="15" s="1"/>
  <c r="I17" i="15" s="1"/>
  <c r="J17" i="15" s="1"/>
  <c r="V16" i="15"/>
  <c r="J16" i="14"/>
  <c r="K16" i="14" s="1"/>
  <c r="V15" i="14"/>
  <c r="E19" i="14"/>
  <c r="F18" i="14"/>
  <c r="Q18" i="14" s="1"/>
  <c r="R18" i="14" s="1"/>
  <c r="R17" i="14"/>
  <c r="S16" i="14"/>
  <c r="U16" i="14" s="1"/>
  <c r="T16" i="14"/>
  <c r="L15" i="14"/>
  <c r="G17" i="14"/>
  <c r="H17" i="14" s="1"/>
  <c r="I17" i="14" s="1"/>
  <c r="J16" i="13"/>
  <c r="F18" i="13"/>
  <c r="Q18" i="13" s="1"/>
  <c r="E19" i="13"/>
  <c r="G18" i="13"/>
  <c r="H18" i="13" s="1"/>
  <c r="R17" i="13"/>
  <c r="G17" i="13"/>
  <c r="H17" i="13" s="1"/>
  <c r="I17" i="13" s="1"/>
  <c r="T16" i="13"/>
  <c r="S16" i="13"/>
  <c r="U16" i="13" s="1"/>
  <c r="K16" i="13"/>
  <c r="L15" i="13"/>
  <c r="J16" i="12"/>
  <c r="K16" i="12" s="1"/>
  <c r="T16" i="12"/>
  <c r="V16" i="12" s="1"/>
  <c r="S16" i="12"/>
  <c r="U16" i="12" s="1"/>
  <c r="L15" i="12"/>
  <c r="F18" i="12"/>
  <c r="Q18" i="12" s="1"/>
  <c r="E19" i="12"/>
  <c r="R17" i="12"/>
  <c r="G17" i="12"/>
  <c r="H17" i="12" s="1"/>
  <c r="I17" i="12" s="1"/>
  <c r="T17" i="11"/>
  <c r="S17" i="11"/>
  <c r="U17" i="11" s="1"/>
  <c r="J16" i="11"/>
  <c r="K16" i="11"/>
  <c r="L15" i="11"/>
  <c r="T16" i="11"/>
  <c r="S16" i="11"/>
  <c r="U16" i="11" s="1"/>
  <c r="E19" i="11"/>
  <c r="F18" i="11"/>
  <c r="Q18" i="11" s="1"/>
  <c r="R18" i="11" s="1"/>
  <c r="G17" i="11"/>
  <c r="H17" i="11" s="1"/>
  <c r="I17" i="11" s="1"/>
  <c r="L14" i="10"/>
  <c r="S17" i="10"/>
  <c r="E19" i="10"/>
  <c r="F18" i="10"/>
  <c r="R18" i="10" s="1"/>
  <c r="S18" i="10" s="1"/>
  <c r="U16" i="10"/>
  <c r="T16" i="10"/>
  <c r="V16" i="10" s="1"/>
  <c r="G17" i="10"/>
  <c r="H17" i="10" s="1"/>
  <c r="J15" i="10"/>
  <c r="K15" i="10" s="1"/>
  <c r="I16" i="10"/>
  <c r="W15" i="9"/>
  <c r="J15" i="9"/>
  <c r="K15" i="9" s="1"/>
  <c r="S16" i="9"/>
  <c r="L14" i="9"/>
  <c r="G16" i="9"/>
  <c r="H16" i="9" s="1"/>
  <c r="I16" i="9" s="1"/>
  <c r="F17" i="9"/>
  <c r="R17" i="9" s="1"/>
  <c r="E18" i="9"/>
  <c r="L15" i="8"/>
  <c r="T15" i="8"/>
  <c r="V15" i="8" s="1"/>
  <c r="U15" i="8"/>
  <c r="W15" i="8" s="1"/>
  <c r="E18" i="8"/>
  <c r="F17" i="8"/>
  <c r="R17" i="8" s="1"/>
  <c r="S17" i="8" s="1"/>
  <c r="G16" i="8"/>
  <c r="H16" i="8" s="1"/>
  <c r="I16" i="8" s="1"/>
  <c r="S16" i="8"/>
  <c r="J15" i="7"/>
  <c r="K15" i="7" s="1"/>
  <c r="U16" i="7"/>
  <c r="T16" i="7"/>
  <c r="V16" i="7" s="1"/>
  <c r="G16" i="7"/>
  <c r="H16" i="7" s="1"/>
  <c r="I16" i="7" s="1"/>
  <c r="U15" i="7"/>
  <c r="T15" i="7"/>
  <c r="V15" i="7" s="1"/>
  <c r="L14" i="7"/>
  <c r="F17" i="7"/>
  <c r="R17" i="7" s="1"/>
  <c r="E18" i="7"/>
  <c r="W11" i="3"/>
  <c r="U13" i="3"/>
  <c r="T13" i="3"/>
  <c r="V13" i="3" s="1"/>
  <c r="W12" i="3"/>
  <c r="G14" i="3"/>
  <c r="H14" i="3" s="1"/>
  <c r="I14" i="3" s="1"/>
  <c r="J14" i="3" s="1"/>
  <c r="K14" i="3" s="1"/>
  <c r="L14" i="3" s="1"/>
  <c r="R14" i="3"/>
  <c r="S14" i="3" s="1"/>
  <c r="E16" i="3"/>
  <c r="F15" i="3"/>
  <c r="V16" i="14" l="1"/>
  <c r="G18" i="15"/>
  <c r="H18" i="15" s="1"/>
  <c r="I18" i="15" s="1"/>
  <c r="J18" i="15" s="1"/>
  <c r="K17" i="15"/>
  <c r="L16" i="15"/>
  <c r="T18" i="15"/>
  <c r="S18" i="15"/>
  <c r="U18" i="15" s="1"/>
  <c r="E20" i="15"/>
  <c r="F19" i="15"/>
  <c r="Q19" i="15" s="1"/>
  <c r="V17" i="15"/>
  <c r="T18" i="14"/>
  <c r="S18" i="14"/>
  <c r="U18" i="14" s="1"/>
  <c r="J17" i="14"/>
  <c r="G18" i="14"/>
  <c r="H18" i="14" s="1"/>
  <c r="I18" i="14" s="1"/>
  <c r="T17" i="14"/>
  <c r="S17" i="14"/>
  <c r="U17" i="14" s="1"/>
  <c r="E20" i="14"/>
  <c r="F19" i="14"/>
  <c r="Q19" i="14" s="1"/>
  <c r="R19" i="14" s="1"/>
  <c r="K17" i="14"/>
  <c r="L16" i="14"/>
  <c r="V16" i="13"/>
  <c r="J17" i="13"/>
  <c r="I18" i="13"/>
  <c r="J18" i="13" s="1"/>
  <c r="F19" i="13"/>
  <c r="Q19" i="13" s="1"/>
  <c r="R19" i="13" s="1"/>
  <c r="E20" i="13"/>
  <c r="R18" i="13"/>
  <c r="T17" i="13"/>
  <c r="S17" i="13"/>
  <c r="U17" i="13" s="1"/>
  <c r="L16" i="13"/>
  <c r="K17" i="13"/>
  <c r="J17" i="12"/>
  <c r="K17" i="12" s="1"/>
  <c r="L16" i="12"/>
  <c r="T17" i="12"/>
  <c r="S17" i="12"/>
  <c r="U17" i="12" s="1"/>
  <c r="G18" i="12"/>
  <c r="H18" i="12" s="1"/>
  <c r="I18" i="12" s="1"/>
  <c r="F19" i="12"/>
  <c r="Q19" i="12" s="1"/>
  <c r="E20" i="12"/>
  <c r="R18" i="12"/>
  <c r="T18" i="11"/>
  <c r="S18" i="11"/>
  <c r="U18" i="11" s="1"/>
  <c r="J17" i="11"/>
  <c r="K17" i="11" s="1"/>
  <c r="V16" i="11"/>
  <c r="L16" i="11"/>
  <c r="E20" i="11"/>
  <c r="F19" i="11"/>
  <c r="Q19" i="11" s="1"/>
  <c r="R19" i="11" s="1"/>
  <c r="G18" i="11"/>
  <c r="H18" i="11" s="1"/>
  <c r="I18" i="11" s="1"/>
  <c r="V17" i="11"/>
  <c r="W16" i="10"/>
  <c r="U18" i="10"/>
  <c r="T18" i="10"/>
  <c r="V18" i="10" s="1"/>
  <c r="L15" i="10"/>
  <c r="E20" i="10"/>
  <c r="F19" i="10"/>
  <c r="R19" i="10" s="1"/>
  <c r="S19" i="10" s="1"/>
  <c r="G18" i="10"/>
  <c r="H18" i="10" s="1"/>
  <c r="J16" i="10"/>
  <c r="K16" i="10" s="1"/>
  <c r="I17" i="10"/>
  <c r="U17" i="10"/>
  <c r="T17" i="10"/>
  <c r="V17" i="10" s="1"/>
  <c r="J16" i="9"/>
  <c r="K16" i="9" s="1"/>
  <c r="L15" i="9"/>
  <c r="G17" i="9"/>
  <c r="H17" i="9" s="1"/>
  <c r="I17" i="9" s="1"/>
  <c r="S17" i="9"/>
  <c r="E19" i="9"/>
  <c r="F18" i="9"/>
  <c r="R18" i="9" s="1"/>
  <c r="U16" i="9"/>
  <c r="T16" i="9"/>
  <c r="V16" i="9" s="1"/>
  <c r="J16" i="8"/>
  <c r="K16" i="8" s="1"/>
  <c r="U17" i="8"/>
  <c r="T17" i="8"/>
  <c r="V17" i="8" s="1"/>
  <c r="G17" i="8"/>
  <c r="H17" i="8" s="1"/>
  <c r="I17" i="8" s="1"/>
  <c r="F18" i="8"/>
  <c r="R18" i="8" s="1"/>
  <c r="E19" i="8"/>
  <c r="G18" i="8"/>
  <c r="H18" i="8" s="1"/>
  <c r="T16" i="8"/>
  <c r="V16" i="8" s="1"/>
  <c r="U16" i="8"/>
  <c r="J16" i="7"/>
  <c r="K16" i="7" s="1"/>
  <c r="W16" i="7"/>
  <c r="G17" i="7"/>
  <c r="H17" i="7" s="1"/>
  <c r="I17" i="7" s="1"/>
  <c r="E19" i="7"/>
  <c r="F18" i="7"/>
  <c r="R18" i="7" s="1"/>
  <c r="W15" i="7"/>
  <c r="L15" i="7"/>
  <c r="S17" i="7"/>
  <c r="W13" i="3"/>
  <c r="T14" i="3"/>
  <c r="V14" i="3" s="1"/>
  <c r="U14" i="3"/>
  <c r="G15" i="3"/>
  <c r="H15" i="3" s="1"/>
  <c r="I15" i="3" s="1"/>
  <c r="J15" i="3" s="1"/>
  <c r="K15" i="3" s="1"/>
  <c r="L15" i="3" s="1"/>
  <c r="R15" i="3"/>
  <c r="E17" i="3"/>
  <c r="F16" i="3"/>
  <c r="V18" i="15" l="1"/>
  <c r="E21" i="15"/>
  <c r="F20" i="15"/>
  <c r="Q20" i="15" s="1"/>
  <c r="R20" i="15" s="1"/>
  <c r="G19" i="15"/>
  <c r="H19" i="15" s="1"/>
  <c r="I19" i="15" s="1"/>
  <c r="J19" i="15" s="1"/>
  <c r="R19" i="15"/>
  <c r="K18" i="15"/>
  <c r="L17" i="15"/>
  <c r="J18" i="14"/>
  <c r="T19" i="14"/>
  <c r="S19" i="14"/>
  <c r="U19" i="14" s="1"/>
  <c r="L17" i="14"/>
  <c r="K18" i="14"/>
  <c r="V17" i="14"/>
  <c r="F20" i="14"/>
  <c r="Q20" i="14" s="1"/>
  <c r="R20" i="14" s="1"/>
  <c r="E21" i="14"/>
  <c r="G19" i="14"/>
  <c r="H19" i="14" s="1"/>
  <c r="I19" i="14" s="1"/>
  <c r="V18" i="14"/>
  <c r="T19" i="13"/>
  <c r="S19" i="13"/>
  <c r="U19" i="13" s="1"/>
  <c r="V17" i="13"/>
  <c r="F20" i="13"/>
  <c r="Q20" i="13" s="1"/>
  <c r="E21" i="13"/>
  <c r="L17" i="13"/>
  <c r="K18" i="13"/>
  <c r="G19" i="13"/>
  <c r="H19" i="13" s="1"/>
  <c r="I19" i="13" s="1"/>
  <c r="J19" i="13" s="1"/>
  <c r="T18" i="13"/>
  <c r="S18" i="13"/>
  <c r="U18" i="13" s="1"/>
  <c r="L17" i="12"/>
  <c r="J18" i="12"/>
  <c r="K18" i="12" s="1"/>
  <c r="E21" i="12"/>
  <c r="F20" i="12"/>
  <c r="Q20" i="12" s="1"/>
  <c r="G19" i="12"/>
  <c r="H19" i="12" s="1"/>
  <c r="I19" i="12" s="1"/>
  <c r="V17" i="12"/>
  <c r="S18" i="12"/>
  <c r="U18" i="12" s="1"/>
  <c r="T18" i="12"/>
  <c r="R19" i="12"/>
  <c r="V18" i="11"/>
  <c r="J18" i="11"/>
  <c r="K18" i="11" s="1"/>
  <c r="T19" i="11"/>
  <c r="S19" i="11"/>
  <c r="U19" i="11" s="1"/>
  <c r="L17" i="11"/>
  <c r="G19" i="11"/>
  <c r="H19" i="11" s="1"/>
  <c r="I19" i="11" s="1"/>
  <c r="E21" i="11"/>
  <c r="F20" i="11"/>
  <c r="Q20" i="11" s="1"/>
  <c r="R20" i="11" s="1"/>
  <c r="L16" i="10"/>
  <c r="U19" i="10"/>
  <c r="T19" i="10"/>
  <c r="V19" i="10" s="1"/>
  <c r="J17" i="10"/>
  <c r="K17" i="10" s="1"/>
  <c r="I18" i="10"/>
  <c r="E21" i="10"/>
  <c r="F20" i="10"/>
  <c r="R20" i="10" s="1"/>
  <c r="W17" i="10"/>
  <c r="G19" i="10"/>
  <c r="H19" i="10" s="1"/>
  <c r="W18" i="10"/>
  <c r="W16" i="9"/>
  <c r="J17" i="9"/>
  <c r="K17" i="9" s="1"/>
  <c r="E20" i="9"/>
  <c r="F19" i="9"/>
  <c r="R19" i="9" s="1"/>
  <c r="G18" i="9"/>
  <c r="H18" i="9" s="1"/>
  <c r="I18" i="9" s="1"/>
  <c r="S18" i="9"/>
  <c r="U17" i="9"/>
  <c r="T17" i="9"/>
  <c r="V17" i="9" s="1"/>
  <c r="L16" i="9"/>
  <c r="W16" i="8"/>
  <c r="J17" i="8"/>
  <c r="K17" i="8" s="1"/>
  <c r="I18" i="8"/>
  <c r="J18" i="8" s="1"/>
  <c r="W17" i="8"/>
  <c r="E20" i="8"/>
  <c r="F19" i="8"/>
  <c r="R19" i="8" s="1"/>
  <c r="S19" i="8" s="1"/>
  <c r="S18" i="8"/>
  <c r="L16" i="8"/>
  <c r="J17" i="7"/>
  <c r="K17" i="7" s="1"/>
  <c r="L16" i="7"/>
  <c r="G18" i="7"/>
  <c r="H18" i="7" s="1"/>
  <c r="I18" i="7" s="1"/>
  <c r="U17" i="7"/>
  <c r="T17" i="7"/>
  <c r="V17" i="7" s="1"/>
  <c r="S18" i="7"/>
  <c r="E20" i="7"/>
  <c r="F19" i="7"/>
  <c r="R19" i="7" s="1"/>
  <c r="W14" i="3"/>
  <c r="S15" i="3"/>
  <c r="G16" i="3"/>
  <c r="H16" i="3" s="1"/>
  <c r="I16" i="3" s="1"/>
  <c r="J16" i="3" s="1"/>
  <c r="K16" i="3" s="1"/>
  <c r="L16" i="3" s="1"/>
  <c r="R16" i="3"/>
  <c r="S16" i="3" s="1"/>
  <c r="F17" i="3"/>
  <c r="E18" i="3"/>
  <c r="W17" i="9" l="1"/>
  <c r="T20" i="15"/>
  <c r="S20" i="15"/>
  <c r="U20" i="15" s="1"/>
  <c r="T19" i="15"/>
  <c r="S19" i="15"/>
  <c r="U19" i="15" s="1"/>
  <c r="F21" i="15"/>
  <c r="Q21" i="15" s="1"/>
  <c r="R21" i="15" s="1"/>
  <c r="E22" i="15"/>
  <c r="L18" i="15"/>
  <c r="K19" i="15"/>
  <c r="G20" i="15"/>
  <c r="H20" i="15" s="1"/>
  <c r="I20" i="15" s="1"/>
  <c r="T20" i="14"/>
  <c r="S20" i="14"/>
  <c r="U20" i="14" s="1"/>
  <c r="J19" i="14"/>
  <c r="V19" i="14"/>
  <c r="G20" i="14"/>
  <c r="H20" i="14" s="1"/>
  <c r="I20" i="14" s="1"/>
  <c r="F21" i="14"/>
  <c r="Q21" i="14" s="1"/>
  <c r="E22" i="14"/>
  <c r="L18" i="14"/>
  <c r="K19" i="14"/>
  <c r="R20" i="13"/>
  <c r="L18" i="13"/>
  <c r="K19" i="13"/>
  <c r="V18" i="13"/>
  <c r="E22" i="13"/>
  <c r="F21" i="13"/>
  <c r="Q21" i="13" s="1"/>
  <c r="G20" i="13"/>
  <c r="H20" i="13" s="1"/>
  <c r="I20" i="13" s="1"/>
  <c r="V19" i="13"/>
  <c r="J19" i="12"/>
  <c r="K19" i="12" s="1"/>
  <c r="L18" i="12"/>
  <c r="V18" i="12"/>
  <c r="G20" i="12"/>
  <c r="H20" i="12" s="1"/>
  <c r="I20" i="12" s="1"/>
  <c r="S19" i="12"/>
  <c r="U19" i="12" s="1"/>
  <c r="T19" i="12"/>
  <c r="R20" i="12"/>
  <c r="E22" i="12"/>
  <c r="F21" i="12"/>
  <c r="Q21" i="12" s="1"/>
  <c r="V19" i="11"/>
  <c r="T20" i="11"/>
  <c r="S20" i="11"/>
  <c r="U20" i="11" s="1"/>
  <c r="J19" i="11"/>
  <c r="G20" i="11"/>
  <c r="H20" i="11" s="1"/>
  <c r="I20" i="11" s="1"/>
  <c r="F21" i="11"/>
  <c r="Q21" i="11" s="1"/>
  <c r="R21" i="11" s="1"/>
  <c r="E22" i="11"/>
  <c r="K19" i="11"/>
  <c r="L18" i="11"/>
  <c r="L17" i="10"/>
  <c r="W19" i="10"/>
  <c r="F21" i="10"/>
  <c r="R21" i="10" s="1"/>
  <c r="E22" i="10"/>
  <c r="G20" i="10"/>
  <c r="H20" i="10" s="1"/>
  <c r="J18" i="10"/>
  <c r="K18" i="10" s="1"/>
  <c r="I19" i="10"/>
  <c r="S20" i="10"/>
  <c r="G19" i="9"/>
  <c r="H19" i="9" s="1"/>
  <c r="I19" i="9" s="1"/>
  <c r="J19" i="9" s="1"/>
  <c r="J18" i="9"/>
  <c r="K18" i="9" s="1"/>
  <c r="L17" i="9"/>
  <c r="S19" i="9"/>
  <c r="E21" i="9"/>
  <c r="F20" i="9"/>
  <c r="R20" i="9" s="1"/>
  <c r="T18" i="9"/>
  <c r="V18" i="9" s="1"/>
  <c r="U18" i="9"/>
  <c r="T19" i="8"/>
  <c r="V19" i="8" s="1"/>
  <c r="U19" i="8"/>
  <c r="U18" i="8"/>
  <c r="T18" i="8"/>
  <c r="V18" i="8" s="1"/>
  <c r="G19" i="8"/>
  <c r="H19" i="8" s="1"/>
  <c r="I19" i="8" s="1"/>
  <c r="J19" i="8" s="1"/>
  <c r="K18" i="8"/>
  <c r="L17" i="8"/>
  <c r="E21" i="8"/>
  <c r="F20" i="8"/>
  <c r="R20" i="8" s="1"/>
  <c r="W17" i="7"/>
  <c r="J18" i="7"/>
  <c r="K18" i="7" s="1"/>
  <c r="L17" i="7"/>
  <c r="E21" i="7"/>
  <c r="F20" i="7"/>
  <c r="R20" i="7" s="1"/>
  <c r="S20" i="7" s="1"/>
  <c r="G19" i="7"/>
  <c r="H19" i="7" s="1"/>
  <c r="I19" i="7" s="1"/>
  <c r="T18" i="7"/>
  <c r="V18" i="7" s="1"/>
  <c r="U18" i="7"/>
  <c r="S19" i="7"/>
  <c r="U16" i="3"/>
  <c r="T16" i="3"/>
  <c r="V16" i="3" s="1"/>
  <c r="T15" i="3"/>
  <c r="V15" i="3" s="1"/>
  <c r="U15" i="3"/>
  <c r="G17" i="3"/>
  <c r="H17" i="3" s="1"/>
  <c r="I17" i="3" s="1"/>
  <c r="J17" i="3" s="1"/>
  <c r="K17" i="3" s="1"/>
  <c r="L17" i="3" s="1"/>
  <c r="R17" i="3"/>
  <c r="E19" i="3"/>
  <c r="F18" i="3"/>
  <c r="W18" i="9" l="1"/>
  <c r="J20" i="15"/>
  <c r="T21" i="15"/>
  <c r="S21" i="15"/>
  <c r="U21" i="15" s="1"/>
  <c r="G21" i="15"/>
  <c r="H21" i="15" s="1"/>
  <c r="I21" i="15" s="1"/>
  <c r="L19" i="15"/>
  <c r="K20" i="15"/>
  <c r="V19" i="15"/>
  <c r="F22" i="15"/>
  <c r="Q22" i="15" s="1"/>
  <c r="R22" i="15" s="1"/>
  <c r="E23" i="15"/>
  <c r="V20" i="15"/>
  <c r="J20" i="14"/>
  <c r="K20" i="14" s="1"/>
  <c r="G21" i="14"/>
  <c r="H21" i="14" s="1"/>
  <c r="I21" i="14" s="1"/>
  <c r="R21" i="14"/>
  <c r="L19" i="14"/>
  <c r="E23" i="14"/>
  <c r="F22" i="14"/>
  <c r="Q22" i="14" s="1"/>
  <c r="V20" i="14"/>
  <c r="J20" i="13"/>
  <c r="K20" i="13" s="1"/>
  <c r="L19" i="13"/>
  <c r="G21" i="13"/>
  <c r="H21" i="13" s="1"/>
  <c r="I21" i="13" s="1"/>
  <c r="E23" i="13"/>
  <c r="F22" i="13"/>
  <c r="Q22" i="13" s="1"/>
  <c r="R21" i="13"/>
  <c r="S20" i="13"/>
  <c r="U20" i="13" s="1"/>
  <c r="T20" i="13"/>
  <c r="J20" i="12"/>
  <c r="K20" i="12" s="1"/>
  <c r="L19" i="12"/>
  <c r="V19" i="12"/>
  <c r="F22" i="12"/>
  <c r="Q22" i="12" s="1"/>
  <c r="R22" i="12" s="1"/>
  <c r="E23" i="12"/>
  <c r="G21" i="12"/>
  <c r="H21" i="12" s="1"/>
  <c r="I21" i="12" s="1"/>
  <c r="R21" i="12"/>
  <c r="T20" i="12"/>
  <c r="S20" i="12"/>
  <c r="U20" i="12" s="1"/>
  <c r="V20" i="11"/>
  <c r="J20" i="11"/>
  <c r="K20" i="11" s="1"/>
  <c r="T21" i="11"/>
  <c r="S21" i="11"/>
  <c r="U21" i="11" s="1"/>
  <c r="G21" i="11"/>
  <c r="H21" i="11" s="1"/>
  <c r="I21" i="11" s="1"/>
  <c r="L19" i="11"/>
  <c r="E23" i="11"/>
  <c r="F22" i="11"/>
  <c r="Q22" i="11" s="1"/>
  <c r="U20" i="10"/>
  <c r="T20" i="10"/>
  <c r="V20" i="10" s="1"/>
  <c r="G21" i="10"/>
  <c r="H21" i="10" s="1"/>
  <c r="E23" i="10"/>
  <c r="F22" i="10"/>
  <c r="R22" i="10" s="1"/>
  <c r="J19" i="10"/>
  <c r="K19" i="10" s="1"/>
  <c r="I20" i="10"/>
  <c r="S21" i="10"/>
  <c r="L18" i="10"/>
  <c r="E22" i="9"/>
  <c r="F21" i="9"/>
  <c r="R21" i="9" s="1"/>
  <c r="U19" i="9"/>
  <c r="T19" i="9"/>
  <c r="V19" i="9" s="1"/>
  <c r="L18" i="9"/>
  <c r="K19" i="9"/>
  <c r="G20" i="9"/>
  <c r="H20" i="9" s="1"/>
  <c r="I20" i="9" s="1"/>
  <c r="J20" i="9" s="1"/>
  <c r="S20" i="9"/>
  <c r="K19" i="8"/>
  <c r="L18" i="8"/>
  <c r="W18" i="8"/>
  <c r="G20" i="8"/>
  <c r="H20" i="8" s="1"/>
  <c r="I20" i="8" s="1"/>
  <c r="S20" i="8"/>
  <c r="W19" i="8"/>
  <c r="E22" i="8"/>
  <c r="F21" i="8"/>
  <c r="R21" i="8" s="1"/>
  <c r="W18" i="7"/>
  <c r="J19" i="7"/>
  <c r="K19" i="7" s="1"/>
  <c r="U20" i="7"/>
  <c r="T20" i="7"/>
  <c r="V20" i="7" s="1"/>
  <c r="E22" i="7"/>
  <c r="F21" i="7"/>
  <c r="R21" i="7" s="1"/>
  <c r="S21" i="7" s="1"/>
  <c r="U19" i="7"/>
  <c r="T19" i="7"/>
  <c r="V19" i="7" s="1"/>
  <c r="G20" i="7"/>
  <c r="H20" i="7" s="1"/>
  <c r="I20" i="7" s="1"/>
  <c r="L18" i="7"/>
  <c r="W15" i="3"/>
  <c r="S17" i="3"/>
  <c r="W16" i="3"/>
  <c r="G18" i="3"/>
  <c r="H18" i="3" s="1"/>
  <c r="I18" i="3" s="1"/>
  <c r="J18" i="3" s="1"/>
  <c r="K18" i="3" s="1"/>
  <c r="L18" i="3" s="1"/>
  <c r="R18" i="3"/>
  <c r="E20" i="3"/>
  <c r="F19" i="3"/>
  <c r="V20" i="12" l="1"/>
  <c r="V21" i="15"/>
  <c r="J21" i="15"/>
  <c r="K21" i="15" s="1"/>
  <c r="S22" i="15"/>
  <c r="U22" i="15" s="1"/>
  <c r="T22" i="15"/>
  <c r="E24" i="15"/>
  <c r="F23" i="15"/>
  <c r="Q23" i="15" s="1"/>
  <c r="G22" i="15"/>
  <c r="H22" i="15" s="1"/>
  <c r="I22" i="15" s="1"/>
  <c r="L20" i="15"/>
  <c r="L20" i="14"/>
  <c r="J21" i="14"/>
  <c r="K21" i="14" s="1"/>
  <c r="S21" i="14"/>
  <c r="U21" i="14" s="1"/>
  <c r="T21" i="14"/>
  <c r="E24" i="14"/>
  <c r="F23" i="14"/>
  <c r="Q23" i="14" s="1"/>
  <c r="R23" i="14" s="1"/>
  <c r="R22" i="14"/>
  <c r="G22" i="14"/>
  <c r="H22" i="14" s="1"/>
  <c r="I22" i="14" s="1"/>
  <c r="V20" i="13"/>
  <c r="J21" i="13"/>
  <c r="K21" i="13" s="1"/>
  <c r="G22" i="13"/>
  <c r="H22" i="13" s="1"/>
  <c r="I22" i="13" s="1"/>
  <c r="R22" i="13"/>
  <c r="T21" i="13"/>
  <c r="S21" i="13"/>
  <c r="U21" i="13" s="1"/>
  <c r="F23" i="13"/>
  <c r="Q23" i="13" s="1"/>
  <c r="E24" i="13"/>
  <c r="L20" i="13"/>
  <c r="T22" i="12"/>
  <c r="S22" i="12"/>
  <c r="U22" i="12" s="1"/>
  <c r="L20" i="12"/>
  <c r="J21" i="12"/>
  <c r="K21" i="12" s="1"/>
  <c r="G22" i="12"/>
  <c r="H22" i="12" s="1"/>
  <c r="I22" i="12" s="1"/>
  <c r="T21" i="12"/>
  <c r="S21" i="12"/>
  <c r="U21" i="12" s="1"/>
  <c r="F23" i="12"/>
  <c r="Q23" i="12" s="1"/>
  <c r="R23" i="12" s="1"/>
  <c r="E24" i="12"/>
  <c r="V21" i="11"/>
  <c r="J21" i="11"/>
  <c r="K21" i="11" s="1"/>
  <c r="G22" i="11"/>
  <c r="H22" i="11" s="1"/>
  <c r="I22" i="11" s="1"/>
  <c r="L20" i="11"/>
  <c r="R22" i="11"/>
  <c r="E24" i="11"/>
  <c r="F23" i="11"/>
  <c r="Q23" i="11" s="1"/>
  <c r="W20" i="10"/>
  <c r="J20" i="10"/>
  <c r="K20" i="10" s="1"/>
  <c r="I21" i="10"/>
  <c r="E24" i="10"/>
  <c r="F23" i="10"/>
  <c r="R23" i="10" s="1"/>
  <c r="S23" i="10" s="1"/>
  <c r="U21" i="10"/>
  <c r="T21" i="10"/>
  <c r="V21" i="10" s="1"/>
  <c r="L19" i="10"/>
  <c r="G22" i="10"/>
  <c r="H22" i="10" s="1"/>
  <c r="S22" i="10"/>
  <c r="W19" i="9"/>
  <c r="E23" i="9"/>
  <c r="F22" i="9"/>
  <c r="R22" i="9" s="1"/>
  <c r="U20" i="9"/>
  <c r="T20" i="9"/>
  <c r="V20" i="9" s="1"/>
  <c r="S21" i="9"/>
  <c r="K20" i="9"/>
  <c r="L19" i="9"/>
  <c r="G21" i="9"/>
  <c r="H21" i="9" s="1"/>
  <c r="I21" i="9" s="1"/>
  <c r="J20" i="8"/>
  <c r="E23" i="8"/>
  <c r="F22" i="8"/>
  <c r="R22" i="8" s="1"/>
  <c r="G21" i="8"/>
  <c r="H21" i="8" s="1"/>
  <c r="I21" i="8" s="1"/>
  <c r="K20" i="8"/>
  <c r="L19" i="8"/>
  <c r="S21" i="8"/>
  <c r="U20" i="8"/>
  <c r="T20" i="8"/>
  <c r="V20" i="8" s="1"/>
  <c r="W20" i="7"/>
  <c r="W19" i="7"/>
  <c r="J20" i="7"/>
  <c r="K20" i="7" s="1"/>
  <c r="T21" i="7"/>
  <c r="V21" i="7" s="1"/>
  <c r="U21" i="7"/>
  <c r="E23" i="7"/>
  <c r="F22" i="7"/>
  <c r="R22" i="7" s="1"/>
  <c r="S22" i="7" s="1"/>
  <c r="L19" i="7"/>
  <c r="G21" i="7"/>
  <c r="H21" i="7" s="1"/>
  <c r="I21" i="7" s="1"/>
  <c r="U17" i="3"/>
  <c r="T17" i="3"/>
  <c r="V17" i="3" s="1"/>
  <c r="S18" i="3"/>
  <c r="G19" i="3"/>
  <c r="H19" i="3" s="1"/>
  <c r="I19" i="3" s="1"/>
  <c r="J19" i="3" s="1"/>
  <c r="K19" i="3" s="1"/>
  <c r="L19" i="3" s="1"/>
  <c r="R19" i="3"/>
  <c r="S19" i="3" s="1"/>
  <c r="E21" i="3"/>
  <c r="F20" i="3"/>
  <c r="V21" i="13" l="1"/>
  <c r="V22" i="15"/>
  <c r="J22" i="15"/>
  <c r="K22" i="15"/>
  <c r="L21" i="15"/>
  <c r="E25" i="15"/>
  <c r="F24" i="15"/>
  <c r="Q24" i="15" s="1"/>
  <c r="R23" i="15"/>
  <c r="G23" i="15"/>
  <c r="H23" i="15" s="1"/>
  <c r="I23" i="15" s="1"/>
  <c r="V21" i="14"/>
  <c r="J22" i="14"/>
  <c r="T23" i="14"/>
  <c r="S23" i="14"/>
  <c r="U23" i="14" s="1"/>
  <c r="T22" i="14"/>
  <c r="S22" i="14"/>
  <c r="U22" i="14" s="1"/>
  <c r="F24" i="14"/>
  <c r="Q24" i="14" s="1"/>
  <c r="E25" i="14"/>
  <c r="G23" i="14"/>
  <c r="H23" i="14" s="1"/>
  <c r="I23" i="14" s="1"/>
  <c r="K22" i="14"/>
  <c r="L21" i="14"/>
  <c r="J22" i="13"/>
  <c r="L21" i="13"/>
  <c r="K22" i="13"/>
  <c r="F24" i="13"/>
  <c r="Q24" i="13" s="1"/>
  <c r="R24" i="13" s="1"/>
  <c r="E25" i="13"/>
  <c r="G23" i="13"/>
  <c r="H23" i="13" s="1"/>
  <c r="I23" i="13" s="1"/>
  <c r="T22" i="13"/>
  <c r="S22" i="13"/>
  <c r="U22" i="13" s="1"/>
  <c r="R23" i="13"/>
  <c r="S23" i="12"/>
  <c r="U23" i="12" s="1"/>
  <c r="T23" i="12"/>
  <c r="L21" i="12"/>
  <c r="J22" i="12"/>
  <c r="K22" i="12" s="1"/>
  <c r="E25" i="12"/>
  <c r="F24" i="12"/>
  <c r="Q24" i="12" s="1"/>
  <c r="G23" i="12"/>
  <c r="H23" i="12" s="1"/>
  <c r="I23" i="12" s="1"/>
  <c r="J23" i="12" s="1"/>
  <c r="V21" i="12"/>
  <c r="V22" i="12"/>
  <c r="J22" i="11"/>
  <c r="K22" i="11" s="1"/>
  <c r="E25" i="11"/>
  <c r="F24" i="11"/>
  <c r="Q24" i="11" s="1"/>
  <c r="R24" i="11" s="1"/>
  <c r="G23" i="11"/>
  <c r="H23" i="11" s="1"/>
  <c r="I23" i="11" s="1"/>
  <c r="S22" i="11"/>
  <c r="U22" i="11" s="1"/>
  <c r="T22" i="11"/>
  <c r="L21" i="11"/>
  <c r="R23" i="11"/>
  <c r="U23" i="10"/>
  <c r="W23" i="10" s="1"/>
  <c r="T23" i="10"/>
  <c r="V23" i="10" s="1"/>
  <c r="L20" i="10"/>
  <c r="E25" i="10"/>
  <c r="F24" i="10"/>
  <c r="R24" i="10" s="1"/>
  <c r="J21" i="10"/>
  <c r="K21" i="10" s="1"/>
  <c r="I22" i="10"/>
  <c r="T22" i="10"/>
  <c r="V22" i="10" s="1"/>
  <c r="U22" i="10"/>
  <c r="W22" i="10" s="1"/>
  <c r="G23" i="10"/>
  <c r="H23" i="10" s="1"/>
  <c r="W21" i="10"/>
  <c r="J21" i="9"/>
  <c r="K21" i="9" s="1"/>
  <c r="T21" i="9"/>
  <c r="V21" i="9" s="1"/>
  <c r="U21" i="9"/>
  <c r="E24" i="9"/>
  <c r="F23" i="9"/>
  <c r="R23" i="9" s="1"/>
  <c r="L20" i="9"/>
  <c r="G22" i="9"/>
  <c r="H22" i="9" s="1"/>
  <c r="I22" i="9" s="1"/>
  <c r="W20" i="9"/>
  <c r="S22" i="9"/>
  <c r="J21" i="8"/>
  <c r="K21" i="8" s="1"/>
  <c r="G22" i="8"/>
  <c r="H22" i="8" s="1"/>
  <c r="I22" i="8" s="1"/>
  <c r="U21" i="8"/>
  <c r="T21" i="8"/>
  <c r="V21" i="8" s="1"/>
  <c r="S22" i="8"/>
  <c r="W20" i="8"/>
  <c r="L20" i="8"/>
  <c r="E24" i="8"/>
  <c r="F23" i="8"/>
  <c r="R23" i="8" s="1"/>
  <c r="S23" i="8" s="1"/>
  <c r="J21" i="7"/>
  <c r="U22" i="7"/>
  <c r="T22" i="7"/>
  <c r="V22" i="7" s="1"/>
  <c r="W21" i="7"/>
  <c r="G22" i="7"/>
  <c r="H22" i="7" s="1"/>
  <c r="I22" i="7" s="1"/>
  <c r="K21" i="7"/>
  <c r="L20" i="7"/>
  <c r="E24" i="7"/>
  <c r="F23" i="7"/>
  <c r="R23" i="7" s="1"/>
  <c r="T19" i="3"/>
  <c r="V19" i="3" s="1"/>
  <c r="U19" i="3"/>
  <c r="T18" i="3"/>
  <c r="V18" i="3" s="1"/>
  <c r="U18" i="3"/>
  <c r="W17" i="3"/>
  <c r="G20" i="3"/>
  <c r="H20" i="3" s="1"/>
  <c r="I20" i="3" s="1"/>
  <c r="J20" i="3" s="1"/>
  <c r="K20" i="3" s="1"/>
  <c r="L20" i="3" s="1"/>
  <c r="R20" i="3"/>
  <c r="E22" i="3"/>
  <c r="F21" i="3"/>
  <c r="W22" i="7" l="1"/>
  <c r="W21" i="9"/>
  <c r="J23" i="15"/>
  <c r="F25" i="15"/>
  <c r="Q25" i="15" s="1"/>
  <c r="E26" i="15"/>
  <c r="R24" i="15"/>
  <c r="K23" i="15"/>
  <c r="L22" i="15"/>
  <c r="G24" i="15"/>
  <c r="H24" i="15" s="1"/>
  <c r="I24" i="15" s="1"/>
  <c r="T23" i="15"/>
  <c r="S23" i="15"/>
  <c r="U23" i="15" s="1"/>
  <c r="J23" i="14"/>
  <c r="K23" i="14" s="1"/>
  <c r="F25" i="14"/>
  <c r="Q25" i="14" s="1"/>
  <c r="R25" i="14" s="1"/>
  <c r="E26" i="14"/>
  <c r="V23" i="14"/>
  <c r="R24" i="14"/>
  <c r="L22" i="14"/>
  <c r="G24" i="14"/>
  <c r="H24" i="14" s="1"/>
  <c r="I24" i="14" s="1"/>
  <c r="V22" i="14"/>
  <c r="S24" i="13"/>
  <c r="U24" i="13" s="1"/>
  <c r="T24" i="13"/>
  <c r="J23" i="13"/>
  <c r="V22" i="13"/>
  <c r="E26" i="13"/>
  <c r="F25" i="13"/>
  <c r="Q25" i="13" s="1"/>
  <c r="G24" i="13"/>
  <c r="H24" i="13" s="1"/>
  <c r="I24" i="13" s="1"/>
  <c r="J24" i="13" s="1"/>
  <c r="T23" i="13"/>
  <c r="S23" i="13"/>
  <c r="U23" i="13" s="1"/>
  <c r="L22" i="13"/>
  <c r="K23" i="13"/>
  <c r="K23" i="12"/>
  <c r="L22" i="12"/>
  <c r="R24" i="12"/>
  <c r="E26" i="12"/>
  <c r="F25" i="12"/>
  <c r="Q25" i="12" s="1"/>
  <c r="G24" i="12"/>
  <c r="H24" i="12" s="1"/>
  <c r="I24" i="12" s="1"/>
  <c r="J24" i="12" s="1"/>
  <c r="V23" i="12"/>
  <c r="V22" i="11"/>
  <c r="J23" i="11"/>
  <c r="K23" i="11" s="1"/>
  <c r="T24" i="11"/>
  <c r="S24" i="11"/>
  <c r="U24" i="11" s="1"/>
  <c r="F25" i="11"/>
  <c r="Q25" i="11" s="1"/>
  <c r="R25" i="11" s="1"/>
  <c r="E26" i="11"/>
  <c r="T23" i="11"/>
  <c r="S23" i="11"/>
  <c r="U23" i="11" s="1"/>
  <c r="L22" i="11"/>
  <c r="G24" i="11"/>
  <c r="H24" i="11" s="1"/>
  <c r="I24" i="11" s="1"/>
  <c r="L21" i="10"/>
  <c r="J22" i="10"/>
  <c r="K22" i="10" s="1"/>
  <c r="I23" i="10"/>
  <c r="E26" i="10"/>
  <c r="F25" i="10"/>
  <c r="R25" i="10" s="1"/>
  <c r="G24" i="10"/>
  <c r="H24" i="10" s="1"/>
  <c r="S24" i="10"/>
  <c r="J22" i="9"/>
  <c r="K22" i="9" s="1"/>
  <c r="G23" i="9"/>
  <c r="H23" i="9" s="1"/>
  <c r="I23" i="9" s="1"/>
  <c r="S23" i="9"/>
  <c r="L21" i="9"/>
  <c r="U22" i="9"/>
  <c r="T22" i="9"/>
  <c r="V22" i="9" s="1"/>
  <c r="F24" i="9"/>
  <c r="R24" i="9" s="1"/>
  <c r="S24" i="9" s="1"/>
  <c r="E25" i="9"/>
  <c r="W21" i="8"/>
  <c r="U23" i="8"/>
  <c r="T23" i="8"/>
  <c r="V23" i="8" s="1"/>
  <c r="J22" i="8"/>
  <c r="E25" i="8"/>
  <c r="F24" i="8"/>
  <c r="R24" i="8" s="1"/>
  <c r="S24" i="8" s="1"/>
  <c r="G23" i="8"/>
  <c r="H23" i="8" s="1"/>
  <c r="I23" i="8" s="1"/>
  <c r="K22" i="8"/>
  <c r="L21" i="8"/>
  <c r="T22" i="8"/>
  <c r="V22" i="8" s="1"/>
  <c r="U22" i="8"/>
  <c r="W22" i="8" s="1"/>
  <c r="J22" i="7"/>
  <c r="K22" i="7" s="1"/>
  <c r="L21" i="7"/>
  <c r="G23" i="7"/>
  <c r="H23" i="7" s="1"/>
  <c r="I23" i="7" s="1"/>
  <c r="S23" i="7"/>
  <c r="F24" i="7"/>
  <c r="R24" i="7" s="1"/>
  <c r="E25" i="7"/>
  <c r="W18" i="3"/>
  <c r="W19" i="3"/>
  <c r="S20" i="3"/>
  <c r="G21" i="3"/>
  <c r="H21" i="3" s="1"/>
  <c r="I21" i="3" s="1"/>
  <c r="J21" i="3" s="1"/>
  <c r="K21" i="3" s="1"/>
  <c r="L21" i="3" s="1"/>
  <c r="R21" i="3"/>
  <c r="S21" i="3" s="1"/>
  <c r="E23" i="3"/>
  <c r="F22" i="3"/>
  <c r="J24" i="15" l="1"/>
  <c r="V23" i="15"/>
  <c r="G25" i="15"/>
  <c r="H25" i="15" s="1"/>
  <c r="I25" i="15" s="1"/>
  <c r="R25" i="15"/>
  <c r="T24" i="15"/>
  <c r="S24" i="15"/>
  <c r="U24" i="15" s="1"/>
  <c r="F26" i="15"/>
  <c r="Q26" i="15" s="1"/>
  <c r="E27" i="15"/>
  <c r="L23" i="15"/>
  <c r="K24" i="15"/>
  <c r="J24" i="14"/>
  <c r="K24" i="14" s="1"/>
  <c r="S25" i="14"/>
  <c r="U25" i="14" s="1"/>
  <c r="T25" i="14"/>
  <c r="E27" i="14"/>
  <c r="F26" i="14"/>
  <c r="Q26" i="14" s="1"/>
  <c r="G25" i="14"/>
  <c r="H25" i="14" s="1"/>
  <c r="I25" i="14" s="1"/>
  <c r="L23" i="14"/>
  <c r="T24" i="14"/>
  <c r="S24" i="14"/>
  <c r="U24" i="14" s="1"/>
  <c r="V24" i="13"/>
  <c r="K24" i="13"/>
  <c r="L23" i="13"/>
  <c r="R25" i="13"/>
  <c r="E27" i="13"/>
  <c r="F26" i="13"/>
  <c r="Q26" i="13" s="1"/>
  <c r="G25" i="13"/>
  <c r="H25" i="13" s="1"/>
  <c r="I25" i="13" s="1"/>
  <c r="J25" i="13" s="1"/>
  <c r="V23" i="13"/>
  <c r="F26" i="12"/>
  <c r="Q26" i="12" s="1"/>
  <c r="E27" i="12"/>
  <c r="G25" i="12"/>
  <c r="H25" i="12" s="1"/>
  <c r="I25" i="12" s="1"/>
  <c r="R25" i="12"/>
  <c r="T24" i="12"/>
  <c r="V24" i="12" s="1"/>
  <c r="S24" i="12"/>
  <c r="U24" i="12" s="1"/>
  <c r="K24" i="12"/>
  <c r="L23" i="12"/>
  <c r="V24" i="11"/>
  <c r="J24" i="11"/>
  <c r="T25" i="11"/>
  <c r="S25" i="11"/>
  <c r="U25" i="11" s="1"/>
  <c r="V23" i="11"/>
  <c r="G25" i="11"/>
  <c r="H25" i="11" s="1"/>
  <c r="I25" i="11" s="1"/>
  <c r="E27" i="11"/>
  <c r="F26" i="11"/>
  <c r="Q26" i="11" s="1"/>
  <c r="K24" i="11"/>
  <c r="L23" i="11"/>
  <c r="L22" i="10"/>
  <c r="E27" i="10"/>
  <c r="F26" i="10"/>
  <c r="R26" i="10" s="1"/>
  <c r="J23" i="10"/>
  <c r="K23" i="10" s="1"/>
  <c r="I24" i="10"/>
  <c r="S25" i="10"/>
  <c r="U24" i="10"/>
  <c r="T24" i="10"/>
  <c r="V24" i="10" s="1"/>
  <c r="G25" i="10"/>
  <c r="H25" i="10" s="1"/>
  <c r="U24" i="9"/>
  <c r="T24" i="9"/>
  <c r="V24" i="9" s="1"/>
  <c r="J23" i="9"/>
  <c r="K23" i="9" s="1"/>
  <c r="W22" i="9"/>
  <c r="U23" i="9"/>
  <c r="T23" i="9"/>
  <c r="V23" i="9" s="1"/>
  <c r="G24" i="9"/>
  <c r="H24" i="9" s="1"/>
  <c r="I24" i="9" s="1"/>
  <c r="E26" i="9"/>
  <c r="F25" i="9"/>
  <c r="R25" i="9" s="1"/>
  <c r="L22" i="9"/>
  <c r="J23" i="8"/>
  <c r="K23" i="8" s="1"/>
  <c r="U24" i="8"/>
  <c r="T24" i="8"/>
  <c r="V24" i="8" s="1"/>
  <c r="E26" i="8"/>
  <c r="F25" i="8"/>
  <c r="R25" i="8" s="1"/>
  <c r="S25" i="8" s="1"/>
  <c r="L22" i="8"/>
  <c r="G24" i="8"/>
  <c r="H24" i="8" s="1"/>
  <c r="I24" i="8" s="1"/>
  <c r="W23" i="8"/>
  <c r="J23" i="7"/>
  <c r="U23" i="7"/>
  <c r="T23" i="7"/>
  <c r="V23" i="7" s="1"/>
  <c r="L22" i="7"/>
  <c r="K23" i="7"/>
  <c r="G24" i="7"/>
  <c r="H24" i="7" s="1"/>
  <c r="I24" i="7" s="1"/>
  <c r="E26" i="7"/>
  <c r="F25" i="7"/>
  <c r="R25" i="7" s="1"/>
  <c r="S24" i="7"/>
  <c r="U21" i="3"/>
  <c r="T21" i="3"/>
  <c r="V21" i="3" s="1"/>
  <c r="U20" i="3"/>
  <c r="T20" i="3"/>
  <c r="V20" i="3" s="1"/>
  <c r="G22" i="3"/>
  <c r="H22" i="3" s="1"/>
  <c r="I22" i="3" s="1"/>
  <c r="J22" i="3" s="1"/>
  <c r="K22" i="3" s="1"/>
  <c r="L22" i="3" s="1"/>
  <c r="R22" i="3"/>
  <c r="S22" i="3" s="1"/>
  <c r="E24" i="3"/>
  <c r="F23" i="3"/>
  <c r="V24" i="14" l="1"/>
  <c r="V25" i="14"/>
  <c r="V24" i="15"/>
  <c r="J25" i="15"/>
  <c r="T25" i="15"/>
  <c r="S25" i="15"/>
  <c r="U25" i="15" s="1"/>
  <c r="L24" i="15"/>
  <c r="K25" i="15"/>
  <c r="G26" i="15"/>
  <c r="H26" i="15" s="1"/>
  <c r="I26" i="15" s="1"/>
  <c r="E28" i="15"/>
  <c r="F27" i="15"/>
  <c r="Q27" i="15" s="1"/>
  <c r="R26" i="15"/>
  <c r="J25" i="14"/>
  <c r="K25" i="14" s="1"/>
  <c r="R26" i="14"/>
  <c r="L24" i="14"/>
  <c r="G26" i="14"/>
  <c r="H26" i="14" s="1"/>
  <c r="I26" i="14" s="1"/>
  <c r="E28" i="14"/>
  <c r="F27" i="14"/>
  <c r="Q27" i="14" s="1"/>
  <c r="F27" i="13"/>
  <c r="Q27" i="13" s="1"/>
  <c r="E28" i="13"/>
  <c r="R26" i="13"/>
  <c r="G26" i="13"/>
  <c r="H26" i="13" s="1"/>
  <c r="I26" i="13" s="1"/>
  <c r="T25" i="13"/>
  <c r="V25" i="13" s="1"/>
  <c r="S25" i="13"/>
  <c r="U25" i="13" s="1"/>
  <c r="K25" i="13"/>
  <c r="L24" i="13"/>
  <c r="J25" i="12"/>
  <c r="F27" i="12"/>
  <c r="Q27" i="12" s="1"/>
  <c r="R27" i="12" s="1"/>
  <c r="E28" i="12"/>
  <c r="L24" i="12"/>
  <c r="K25" i="12"/>
  <c r="T25" i="12"/>
  <c r="S25" i="12"/>
  <c r="U25" i="12" s="1"/>
  <c r="G26" i="12"/>
  <c r="H26" i="12" s="1"/>
  <c r="I26" i="12" s="1"/>
  <c r="R26" i="12"/>
  <c r="V25" i="11"/>
  <c r="J25" i="11"/>
  <c r="R26" i="11"/>
  <c r="K25" i="11"/>
  <c r="L24" i="11"/>
  <c r="E28" i="11"/>
  <c r="F27" i="11"/>
  <c r="Q27" i="11" s="1"/>
  <c r="G26" i="11"/>
  <c r="H26" i="11" s="1"/>
  <c r="I26" i="11" s="1"/>
  <c r="W24" i="10"/>
  <c r="U25" i="10"/>
  <c r="T25" i="10"/>
  <c r="V25" i="10" s="1"/>
  <c r="J24" i="10"/>
  <c r="K24" i="10" s="1"/>
  <c r="I25" i="10"/>
  <c r="S26" i="10"/>
  <c r="E28" i="10"/>
  <c r="F27" i="10"/>
  <c r="R27" i="10" s="1"/>
  <c r="G26" i="10"/>
  <c r="H26" i="10" s="1"/>
  <c r="L23" i="10"/>
  <c r="W23" i="9"/>
  <c r="J24" i="9"/>
  <c r="K24" i="9" s="1"/>
  <c r="L23" i="9"/>
  <c r="G25" i="9"/>
  <c r="H25" i="9" s="1"/>
  <c r="I25" i="9" s="1"/>
  <c r="E27" i="9"/>
  <c r="F26" i="9"/>
  <c r="R26" i="9" s="1"/>
  <c r="S26" i="9" s="1"/>
  <c r="S25" i="9"/>
  <c r="W24" i="9"/>
  <c r="J24" i="8"/>
  <c r="U25" i="8"/>
  <c r="T25" i="8"/>
  <c r="V25" i="8" s="1"/>
  <c r="W24" i="8"/>
  <c r="E27" i="8"/>
  <c r="F26" i="8"/>
  <c r="R26" i="8" s="1"/>
  <c r="S26" i="8" s="1"/>
  <c r="L23" i="8"/>
  <c r="K24" i="8"/>
  <c r="G25" i="8"/>
  <c r="H25" i="8" s="1"/>
  <c r="I25" i="8" s="1"/>
  <c r="W23" i="7"/>
  <c r="J24" i="7"/>
  <c r="K24" i="7" s="1"/>
  <c r="U24" i="7"/>
  <c r="T24" i="7"/>
  <c r="V24" i="7" s="1"/>
  <c r="E27" i="7"/>
  <c r="F26" i="7"/>
  <c r="R26" i="7" s="1"/>
  <c r="G25" i="7"/>
  <c r="H25" i="7" s="1"/>
  <c r="I25" i="7" s="1"/>
  <c r="L23" i="7"/>
  <c r="S25" i="7"/>
  <c r="T22" i="3"/>
  <c r="V22" i="3" s="1"/>
  <c r="U22" i="3"/>
  <c r="W20" i="3"/>
  <c r="W21" i="3"/>
  <c r="G23" i="3"/>
  <c r="H23" i="3" s="1"/>
  <c r="I23" i="3" s="1"/>
  <c r="J23" i="3" s="1"/>
  <c r="K23" i="3" s="1"/>
  <c r="L23" i="3" s="1"/>
  <c r="R23" i="3"/>
  <c r="S23" i="3" s="1"/>
  <c r="E25" i="3"/>
  <c r="F24" i="3"/>
  <c r="R27" i="11" l="1"/>
  <c r="J26" i="15"/>
  <c r="V25" i="15"/>
  <c r="S26" i="15"/>
  <c r="U26" i="15" s="1"/>
  <c r="T26" i="15"/>
  <c r="E29" i="15"/>
  <c r="U28" i="15"/>
  <c r="I28" i="15"/>
  <c r="J28" i="15" s="1"/>
  <c r="G28" i="15"/>
  <c r="V28" i="15"/>
  <c r="F28" i="15"/>
  <c r="Q28" i="15" s="1"/>
  <c r="R28" i="15" s="1"/>
  <c r="H28" i="15"/>
  <c r="R27" i="15"/>
  <c r="G27" i="15"/>
  <c r="H27" i="15" s="1"/>
  <c r="I27" i="15" s="1"/>
  <c r="J27" i="15" s="1"/>
  <c r="K26" i="15"/>
  <c r="L25" i="15"/>
  <c r="J26" i="14"/>
  <c r="G27" i="14"/>
  <c r="H27" i="14" s="1"/>
  <c r="I27" i="14" s="1"/>
  <c r="J27" i="14" s="1"/>
  <c r="E29" i="14"/>
  <c r="U28" i="14"/>
  <c r="I28" i="14"/>
  <c r="J28" i="14" s="1"/>
  <c r="H28" i="14"/>
  <c r="V28" i="14"/>
  <c r="G28" i="14"/>
  <c r="F28" i="14"/>
  <c r="Q28" i="14" s="1"/>
  <c r="R28" i="14" s="1"/>
  <c r="R27" i="14"/>
  <c r="K26" i="14"/>
  <c r="L25" i="14"/>
  <c r="T26" i="14"/>
  <c r="S26" i="14"/>
  <c r="U26" i="14" s="1"/>
  <c r="J26" i="13"/>
  <c r="K26" i="13" s="1"/>
  <c r="T26" i="13"/>
  <c r="S26" i="13"/>
  <c r="U26" i="13" s="1"/>
  <c r="G28" i="13"/>
  <c r="V28" i="13"/>
  <c r="F28" i="13"/>
  <c r="Q28" i="13" s="1"/>
  <c r="E29" i="13"/>
  <c r="U28" i="13"/>
  <c r="I28" i="13"/>
  <c r="J28" i="13" s="1"/>
  <c r="H28" i="13"/>
  <c r="L25" i="13"/>
  <c r="G27" i="13"/>
  <c r="H27" i="13" s="1"/>
  <c r="I27" i="13" s="1"/>
  <c r="J27" i="13" s="1"/>
  <c r="R27" i="13"/>
  <c r="J26" i="12"/>
  <c r="K26" i="12" s="1"/>
  <c r="S27" i="12"/>
  <c r="U27" i="12" s="1"/>
  <c r="T27" i="12"/>
  <c r="V27" i="12" s="1"/>
  <c r="V25" i="12"/>
  <c r="E29" i="12"/>
  <c r="F28" i="12"/>
  <c r="Q28" i="12" s="1"/>
  <c r="T26" i="12"/>
  <c r="S26" i="12"/>
  <c r="U26" i="12" s="1"/>
  <c r="L25" i="12"/>
  <c r="G27" i="12"/>
  <c r="H27" i="12" s="1"/>
  <c r="I27" i="12" s="1"/>
  <c r="T27" i="11"/>
  <c r="S27" i="11"/>
  <c r="U27" i="11" s="1"/>
  <c r="J26" i="11"/>
  <c r="K26" i="11" s="1"/>
  <c r="S26" i="11"/>
  <c r="U26" i="11" s="1"/>
  <c r="T26" i="11"/>
  <c r="E29" i="11"/>
  <c r="F28" i="11"/>
  <c r="Q28" i="11" s="1"/>
  <c r="G27" i="11"/>
  <c r="H27" i="11" s="1"/>
  <c r="I27" i="11" s="1"/>
  <c r="L25" i="11"/>
  <c r="E29" i="10"/>
  <c r="F28" i="10"/>
  <c r="R28" i="10" s="1"/>
  <c r="L24" i="10"/>
  <c r="G27" i="10"/>
  <c r="H27" i="10" s="1"/>
  <c r="W25" i="10"/>
  <c r="T26" i="10"/>
  <c r="V26" i="10" s="1"/>
  <c r="U26" i="10"/>
  <c r="J25" i="10"/>
  <c r="K25" i="10" s="1"/>
  <c r="I26" i="10"/>
  <c r="S27" i="10"/>
  <c r="J25" i="9"/>
  <c r="K25" i="9" s="1"/>
  <c r="U26" i="9"/>
  <c r="T26" i="9"/>
  <c r="V26" i="9" s="1"/>
  <c r="T25" i="9"/>
  <c r="V25" i="9" s="1"/>
  <c r="U25" i="9"/>
  <c r="G26" i="9"/>
  <c r="H26" i="9" s="1"/>
  <c r="I26" i="9" s="1"/>
  <c r="L24" i="9"/>
  <c r="E28" i="9"/>
  <c r="F27" i="9"/>
  <c r="R27" i="9" s="1"/>
  <c r="T26" i="8"/>
  <c r="V26" i="8" s="1"/>
  <c r="U26" i="8"/>
  <c r="W26" i="8" s="1"/>
  <c r="J25" i="8"/>
  <c r="K25" i="8" s="1"/>
  <c r="W25" i="8"/>
  <c r="E28" i="8"/>
  <c r="F27" i="8"/>
  <c r="R27" i="8" s="1"/>
  <c r="G26" i="8"/>
  <c r="H26" i="8" s="1"/>
  <c r="I26" i="8" s="1"/>
  <c r="L24" i="8"/>
  <c r="J25" i="7"/>
  <c r="T25" i="7"/>
  <c r="V25" i="7" s="1"/>
  <c r="U25" i="7"/>
  <c r="S26" i="7"/>
  <c r="K25" i="7"/>
  <c r="L24" i="7"/>
  <c r="E28" i="7"/>
  <c r="F27" i="7"/>
  <c r="R27" i="7" s="1"/>
  <c r="G26" i="7"/>
  <c r="H26" i="7" s="1"/>
  <c r="I26" i="7" s="1"/>
  <c r="W24" i="7"/>
  <c r="W22" i="3"/>
  <c r="T23" i="3"/>
  <c r="V23" i="3" s="1"/>
  <c r="U23" i="3"/>
  <c r="G24" i="3"/>
  <c r="H24" i="3" s="1"/>
  <c r="I24" i="3" s="1"/>
  <c r="J24" i="3" s="1"/>
  <c r="K24" i="3" s="1"/>
  <c r="L24" i="3" s="1"/>
  <c r="R24" i="3"/>
  <c r="E26" i="3"/>
  <c r="F25" i="3"/>
  <c r="V26" i="15" l="1"/>
  <c r="V26" i="13"/>
  <c r="T28" i="15"/>
  <c r="S28" i="15"/>
  <c r="T27" i="15"/>
  <c r="S27" i="15"/>
  <c r="U27" i="15" s="1"/>
  <c r="V29" i="15"/>
  <c r="E30" i="15"/>
  <c r="U29" i="15"/>
  <c r="I29" i="15"/>
  <c r="J29" i="15" s="1"/>
  <c r="H29" i="15"/>
  <c r="G29" i="15"/>
  <c r="F29" i="15"/>
  <c r="Q29" i="15" s="1"/>
  <c r="K27" i="15"/>
  <c r="L26" i="15"/>
  <c r="V26" i="14"/>
  <c r="S28" i="14"/>
  <c r="T28" i="14"/>
  <c r="L26" i="14"/>
  <c r="K27" i="14"/>
  <c r="T27" i="14"/>
  <c r="S27" i="14"/>
  <c r="U27" i="14" s="1"/>
  <c r="E30" i="14"/>
  <c r="U29" i="14"/>
  <c r="I29" i="14"/>
  <c r="J29" i="14" s="1"/>
  <c r="G29" i="14"/>
  <c r="V29" i="14"/>
  <c r="F29" i="14"/>
  <c r="Q29" i="14" s="1"/>
  <c r="R29" i="14" s="1"/>
  <c r="H29" i="14"/>
  <c r="R28" i="13"/>
  <c r="T27" i="13"/>
  <c r="S27" i="13"/>
  <c r="U27" i="13" s="1"/>
  <c r="L26" i="13"/>
  <c r="K27" i="13"/>
  <c r="V29" i="13"/>
  <c r="E30" i="13"/>
  <c r="U29" i="13"/>
  <c r="G29" i="13"/>
  <c r="F29" i="13"/>
  <c r="Q29" i="13" s="1"/>
  <c r="I29" i="13"/>
  <c r="J29" i="13" s="1"/>
  <c r="H29" i="13"/>
  <c r="J27" i="12"/>
  <c r="V26" i="12"/>
  <c r="E30" i="12"/>
  <c r="F29" i="12"/>
  <c r="Q29" i="12" s="1"/>
  <c r="K27" i="12"/>
  <c r="L26" i="12"/>
  <c r="G28" i="12"/>
  <c r="H28" i="12" s="1"/>
  <c r="I28" i="12" s="1"/>
  <c r="R28" i="12"/>
  <c r="V26" i="11"/>
  <c r="J27" i="11"/>
  <c r="K27" i="11" s="1"/>
  <c r="G28" i="11"/>
  <c r="H28" i="11" s="1"/>
  <c r="I28" i="11" s="1"/>
  <c r="L26" i="11"/>
  <c r="F29" i="11"/>
  <c r="Q29" i="11" s="1"/>
  <c r="R29" i="11" s="1"/>
  <c r="E30" i="11"/>
  <c r="R28" i="11"/>
  <c r="V27" i="11"/>
  <c r="L25" i="10"/>
  <c r="U27" i="10"/>
  <c r="T27" i="10"/>
  <c r="V27" i="10" s="1"/>
  <c r="J26" i="10"/>
  <c r="K26" i="10" s="1"/>
  <c r="I27" i="10"/>
  <c r="G28" i="10"/>
  <c r="H28" i="10" s="1"/>
  <c r="S28" i="10"/>
  <c r="W26" i="10"/>
  <c r="E30" i="10"/>
  <c r="F29" i="10"/>
  <c r="R29" i="10" s="1"/>
  <c r="S29" i="10" s="1"/>
  <c r="W26" i="9"/>
  <c r="W25" i="9"/>
  <c r="J26" i="9"/>
  <c r="K26" i="9" s="1"/>
  <c r="L25" i="9"/>
  <c r="F28" i="9"/>
  <c r="R28" i="9" s="1"/>
  <c r="S28" i="9" s="1"/>
  <c r="E29" i="9"/>
  <c r="G27" i="9"/>
  <c r="H27" i="9" s="1"/>
  <c r="I27" i="9" s="1"/>
  <c r="S27" i="9"/>
  <c r="J26" i="8"/>
  <c r="E29" i="8"/>
  <c r="F28" i="8"/>
  <c r="R28" i="8" s="1"/>
  <c r="S28" i="8" s="1"/>
  <c r="G27" i="8"/>
  <c r="H27" i="8" s="1"/>
  <c r="I27" i="8" s="1"/>
  <c r="K26" i="8"/>
  <c r="L25" i="8"/>
  <c r="S27" i="8"/>
  <c r="J26" i="7"/>
  <c r="K26" i="7" s="1"/>
  <c r="L25" i="7"/>
  <c r="U26" i="7"/>
  <c r="T26" i="7"/>
  <c r="V26" i="7" s="1"/>
  <c r="F28" i="7"/>
  <c r="R28" i="7" s="1"/>
  <c r="S28" i="7" s="1"/>
  <c r="E29" i="7"/>
  <c r="S27" i="7"/>
  <c r="G27" i="7"/>
  <c r="H27" i="7" s="1"/>
  <c r="I27" i="7" s="1"/>
  <c r="W25" i="7"/>
  <c r="W23" i="3"/>
  <c r="S24" i="3"/>
  <c r="G25" i="3"/>
  <c r="H25" i="3" s="1"/>
  <c r="I25" i="3" s="1"/>
  <c r="J25" i="3" s="1"/>
  <c r="K25" i="3" s="1"/>
  <c r="L25" i="3" s="1"/>
  <c r="R25" i="3"/>
  <c r="S25" i="3" s="1"/>
  <c r="E27" i="3"/>
  <c r="F26" i="3"/>
  <c r="W26" i="7" l="1"/>
  <c r="V27" i="15"/>
  <c r="R29" i="15"/>
  <c r="V30" i="15"/>
  <c r="F30" i="15"/>
  <c r="Q30" i="15" s="1"/>
  <c r="E31" i="15"/>
  <c r="U30" i="15"/>
  <c r="I30" i="15"/>
  <c r="J30" i="15" s="1"/>
  <c r="H30" i="15"/>
  <c r="G30" i="15"/>
  <c r="L27" i="15"/>
  <c r="K28" i="15"/>
  <c r="S29" i="14"/>
  <c r="T29" i="14"/>
  <c r="V27" i="14"/>
  <c r="K28" i="14"/>
  <c r="L27" i="14"/>
  <c r="E31" i="14"/>
  <c r="U30" i="14"/>
  <c r="I30" i="14"/>
  <c r="J30" i="14" s="1"/>
  <c r="G30" i="14"/>
  <c r="H30" i="14"/>
  <c r="F30" i="14"/>
  <c r="Q30" i="14" s="1"/>
  <c r="V30" i="14"/>
  <c r="V27" i="13"/>
  <c r="K28" i="13"/>
  <c r="L27" i="13"/>
  <c r="S28" i="13"/>
  <c r="T28" i="13"/>
  <c r="R29" i="13"/>
  <c r="V30" i="13"/>
  <c r="F30" i="13"/>
  <c r="Q30" i="13" s="1"/>
  <c r="E31" i="13"/>
  <c r="U30" i="13"/>
  <c r="I30" i="13"/>
  <c r="J30" i="13" s="1"/>
  <c r="H30" i="13"/>
  <c r="G30" i="13"/>
  <c r="J28" i="12"/>
  <c r="T28" i="12"/>
  <c r="S28" i="12"/>
  <c r="U28" i="12" s="1"/>
  <c r="R29" i="12"/>
  <c r="K28" i="12"/>
  <c r="L27" i="12"/>
  <c r="E31" i="12"/>
  <c r="F30" i="12"/>
  <c r="Q30" i="12" s="1"/>
  <c r="G29" i="12"/>
  <c r="H29" i="12" s="1"/>
  <c r="I29" i="12" s="1"/>
  <c r="J28" i="11"/>
  <c r="T29" i="11"/>
  <c r="S29" i="11"/>
  <c r="U29" i="11" s="1"/>
  <c r="T28" i="11"/>
  <c r="S28" i="11"/>
  <c r="U28" i="11" s="1"/>
  <c r="E31" i="11"/>
  <c r="F30" i="11"/>
  <c r="Q30" i="11" s="1"/>
  <c r="R30" i="11" s="1"/>
  <c r="K28" i="11"/>
  <c r="L27" i="11"/>
  <c r="G29" i="11"/>
  <c r="H29" i="11" s="1"/>
  <c r="I29" i="11" s="1"/>
  <c r="U29" i="10"/>
  <c r="T29" i="10"/>
  <c r="V29" i="10" s="1"/>
  <c r="E31" i="10"/>
  <c r="F30" i="10"/>
  <c r="R30" i="10" s="1"/>
  <c r="W27" i="10"/>
  <c r="U28" i="10"/>
  <c r="T28" i="10"/>
  <c r="V28" i="10" s="1"/>
  <c r="G29" i="10"/>
  <c r="H29" i="10" s="1"/>
  <c r="J27" i="10"/>
  <c r="K27" i="10" s="1"/>
  <c r="I28" i="10"/>
  <c r="L26" i="10"/>
  <c r="U28" i="9"/>
  <c r="W28" i="9" s="1"/>
  <c r="T28" i="9"/>
  <c r="V28" i="9" s="1"/>
  <c r="J27" i="9"/>
  <c r="K27" i="9" s="1"/>
  <c r="U27" i="9"/>
  <c r="T27" i="9"/>
  <c r="V27" i="9" s="1"/>
  <c r="G28" i="9"/>
  <c r="H28" i="9" s="1"/>
  <c r="I28" i="9" s="1"/>
  <c r="E30" i="9"/>
  <c r="F29" i="9"/>
  <c r="R29" i="9" s="1"/>
  <c r="S29" i="9" s="1"/>
  <c r="L26" i="9"/>
  <c r="U28" i="8"/>
  <c r="T28" i="8"/>
  <c r="V28" i="8" s="1"/>
  <c r="J27" i="8"/>
  <c r="K27" i="8" s="1"/>
  <c r="U27" i="8"/>
  <c r="T27" i="8"/>
  <c r="V27" i="8" s="1"/>
  <c r="L26" i="8"/>
  <c r="G28" i="8"/>
  <c r="H28" i="8" s="1"/>
  <c r="I28" i="8" s="1"/>
  <c r="F29" i="8"/>
  <c r="R29" i="8" s="1"/>
  <c r="S29" i="8" s="1"/>
  <c r="E30" i="8"/>
  <c r="U28" i="7"/>
  <c r="T28" i="7"/>
  <c r="V28" i="7" s="1"/>
  <c r="J27" i="7"/>
  <c r="K27" i="7" s="1"/>
  <c r="U27" i="7"/>
  <c r="T27" i="7"/>
  <c r="V27" i="7" s="1"/>
  <c r="G28" i="7"/>
  <c r="H28" i="7" s="1"/>
  <c r="I28" i="7" s="1"/>
  <c r="E30" i="7"/>
  <c r="F29" i="7"/>
  <c r="R29" i="7" s="1"/>
  <c r="L26" i="7"/>
  <c r="U25" i="3"/>
  <c r="T25" i="3"/>
  <c r="V25" i="3" s="1"/>
  <c r="U24" i="3"/>
  <c r="T24" i="3"/>
  <c r="V24" i="3" s="1"/>
  <c r="G26" i="3"/>
  <c r="H26" i="3" s="1"/>
  <c r="I26" i="3" s="1"/>
  <c r="J26" i="3" s="1"/>
  <c r="K26" i="3" s="1"/>
  <c r="L26" i="3" s="1"/>
  <c r="R26" i="3"/>
  <c r="S26" i="3" s="1"/>
  <c r="E28" i="3"/>
  <c r="F27" i="3"/>
  <c r="T29" i="15" l="1"/>
  <c r="S29" i="15"/>
  <c r="R30" i="15"/>
  <c r="L28" i="15"/>
  <c r="K29" i="15"/>
  <c r="V31" i="15"/>
  <c r="F31" i="15"/>
  <c r="Q31" i="15" s="1"/>
  <c r="E32" i="15"/>
  <c r="U31" i="15"/>
  <c r="I31" i="15"/>
  <c r="J31" i="15" s="1"/>
  <c r="H31" i="15"/>
  <c r="G31" i="15"/>
  <c r="R30" i="14"/>
  <c r="E32" i="14"/>
  <c r="U31" i="14"/>
  <c r="I31" i="14"/>
  <c r="J31" i="14" s="1"/>
  <c r="H31" i="14"/>
  <c r="G31" i="14"/>
  <c r="V31" i="14"/>
  <c r="F31" i="14"/>
  <c r="Q31" i="14" s="1"/>
  <c r="K29" i="14"/>
  <c r="L28" i="14"/>
  <c r="K29" i="13"/>
  <c r="L28" i="13"/>
  <c r="V31" i="13"/>
  <c r="F31" i="13"/>
  <c r="Q31" i="13" s="1"/>
  <c r="E32" i="13"/>
  <c r="U31" i="13"/>
  <c r="I31" i="13"/>
  <c r="J31" i="13" s="1"/>
  <c r="H31" i="13"/>
  <c r="G31" i="13"/>
  <c r="T29" i="13"/>
  <c r="S29" i="13"/>
  <c r="R30" i="13"/>
  <c r="J29" i="12"/>
  <c r="E32" i="12"/>
  <c r="F31" i="12"/>
  <c r="Q31" i="12" s="1"/>
  <c r="R31" i="12" s="1"/>
  <c r="V28" i="12"/>
  <c r="K29" i="12"/>
  <c r="L28" i="12"/>
  <c r="G30" i="12"/>
  <c r="H30" i="12" s="1"/>
  <c r="I30" i="12" s="1"/>
  <c r="R30" i="12"/>
  <c r="S29" i="12"/>
  <c r="U29" i="12" s="1"/>
  <c r="T29" i="12"/>
  <c r="V29" i="11"/>
  <c r="S30" i="11"/>
  <c r="U30" i="11" s="1"/>
  <c r="T30" i="11"/>
  <c r="J29" i="11"/>
  <c r="K29" i="11" s="1"/>
  <c r="L28" i="11"/>
  <c r="E32" i="11"/>
  <c r="F31" i="11"/>
  <c r="Q31" i="11" s="1"/>
  <c r="R31" i="11" s="1"/>
  <c r="G30" i="11"/>
  <c r="H30" i="11" s="1"/>
  <c r="I30" i="11" s="1"/>
  <c r="V28" i="11"/>
  <c r="J28" i="10"/>
  <c r="I29" i="10"/>
  <c r="E32" i="10"/>
  <c r="F31" i="10"/>
  <c r="R31" i="10" s="1"/>
  <c r="W28" i="10"/>
  <c r="G30" i="10"/>
  <c r="H30" i="10" s="1"/>
  <c r="L27" i="10"/>
  <c r="K28" i="10"/>
  <c r="S30" i="10"/>
  <c r="W29" i="10"/>
  <c r="J28" i="9"/>
  <c r="K28" i="9" s="1"/>
  <c r="W27" i="9"/>
  <c r="G29" i="9"/>
  <c r="H29" i="9" s="1"/>
  <c r="I29" i="9" s="1"/>
  <c r="T29" i="9"/>
  <c r="V29" i="9" s="1"/>
  <c r="U29" i="9"/>
  <c r="L27" i="9"/>
  <c r="E31" i="9"/>
  <c r="F30" i="9"/>
  <c r="R30" i="9" s="1"/>
  <c r="J28" i="8"/>
  <c r="K28" i="8" s="1"/>
  <c r="U29" i="8"/>
  <c r="T29" i="8"/>
  <c r="V29" i="8" s="1"/>
  <c r="W27" i="8"/>
  <c r="E31" i="8"/>
  <c r="F30" i="8"/>
  <c r="R30" i="8" s="1"/>
  <c r="L27" i="8"/>
  <c r="G29" i="8"/>
  <c r="H29" i="8" s="1"/>
  <c r="I29" i="8" s="1"/>
  <c r="W28" i="8"/>
  <c r="W27" i="7"/>
  <c r="J28" i="7"/>
  <c r="K28" i="7" s="1"/>
  <c r="G29" i="7"/>
  <c r="H29" i="7" s="1"/>
  <c r="I29" i="7" s="1"/>
  <c r="L27" i="7"/>
  <c r="E31" i="7"/>
  <c r="F30" i="7"/>
  <c r="R30" i="7" s="1"/>
  <c r="S29" i="7"/>
  <c r="W28" i="7"/>
  <c r="T26" i="3"/>
  <c r="V26" i="3" s="1"/>
  <c r="U26" i="3"/>
  <c r="W24" i="3"/>
  <c r="W25" i="3"/>
  <c r="G27" i="3"/>
  <c r="H27" i="3" s="1"/>
  <c r="I27" i="3" s="1"/>
  <c r="J27" i="3" s="1"/>
  <c r="K27" i="3" s="1"/>
  <c r="L27" i="3" s="1"/>
  <c r="R27" i="3"/>
  <c r="S27" i="3" s="1"/>
  <c r="E29" i="3"/>
  <c r="F28" i="3"/>
  <c r="W29" i="8" l="1"/>
  <c r="T30" i="15"/>
  <c r="S30" i="15"/>
  <c r="K30" i="15"/>
  <c r="L29" i="15"/>
  <c r="V32" i="15"/>
  <c r="F32" i="15"/>
  <c r="Q32" i="15" s="1"/>
  <c r="E33" i="15"/>
  <c r="U32" i="15"/>
  <c r="I32" i="15"/>
  <c r="J32" i="15" s="1"/>
  <c r="H32" i="15"/>
  <c r="G32" i="15"/>
  <c r="R31" i="15"/>
  <c r="K30" i="14"/>
  <c r="L29" i="14"/>
  <c r="T30" i="14"/>
  <c r="S30" i="14"/>
  <c r="R31" i="14"/>
  <c r="E33" i="14"/>
  <c r="U32" i="14"/>
  <c r="I32" i="14"/>
  <c r="J32" i="14" s="1"/>
  <c r="H32" i="14"/>
  <c r="G32" i="14"/>
  <c r="V32" i="14"/>
  <c r="F32" i="14"/>
  <c r="Q32" i="14" s="1"/>
  <c r="L29" i="13"/>
  <c r="K30" i="13"/>
  <c r="T30" i="13"/>
  <c r="S30" i="13"/>
  <c r="V32" i="13"/>
  <c r="F32" i="13"/>
  <c r="Q32" i="13" s="1"/>
  <c r="R32" i="13" s="1"/>
  <c r="E33" i="13"/>
  <c r="U32" i="13"/>
  <c r="I32" i="13"/>
  <c r="J32" i="13" s="1"/>
  <c r="H32" i="13"/>
  <c r="G32" i="13"/>
  <c r="R31" i="13"/>
  <c r="J30" i="12"/>
  <c r="T31" i="12"/>
  <c r="V31" i="12" s="1"/>
  <c r="S31" i="12"/>
  <c r="U31" i="12" s="1"/>
  <c r="V29" i="12"/>
  <c r="L29" i="12"/>
  <c r="K30" i="12"/>
  <c r="G31" i="12"/>
  <c r="H31" i="12" s="1"/>
  <c r="I31" i="12" s="1"/>
  <c r="T30" i="12"/>
  <c r="V30" i="12" s="1"/>
  <c r="S30" i="12"/>
  <c r="U30" i="12" s="1"/>
  <c r="F32" i="12"/>
  <c r="Q32" i="12" s="1"/>
  <c r="R32" i="12" s="1"/>
  <c r="E33" i="12"/>
  <c r="J30" i="11"/>
  <c r="T31" i="11"/>
  <c r="S31" i="11"/>
  <c r="U31" i="11" s="1"/>
  <c r="E33" i="11"/>
  <c r="F32" i="11"/>
  <c r="Q32" i="11" s="1"/>
  <c r="G31" i="11"/>
  <c r="H31" i="11" s="1"/>
  <c r="I31" i="11" s="1"/>
  <c r="K30" i="11"/>
  <c r="L29" i="11"/>
  <c r="V30" i="11"/>
  <c r="G31" i="10"/>
  <c r="H31" i="10" s="1"/>
  <c r="J29" i="10"/>
  <c r="I30" i="10"/>
  <c r="T30" i="10"/>
  <c r="V30" i="10" s="1"/>
  <c r="U30" i="10"/>
  <c r="K29" i="10"/>
  <c r="L28" i="10"/>
  <c r="E33" i="10"/>
  <c r="F32" i="10"/>
  <c r="R32" i="10" s="1"/>
  <c r="S31" i="10"/>
  <c r="W29" i="9"/>
  <c r="J29" i="9"/>
  <c r="E32" i="9"/>
  <c r="F31" i="9"/>
  <c r="R31" i="9" s="1"/>
  <c r="S31" i="9" s="1"/>
  <c r="G30" i="9"/>
  <c r="H30" i="9" s="1"/>
  <c r="I30" i="9" s="1"/>
  <c r="K29" i="9"/>
  <c r="L28" i="9"/>
  <c r="S30" i="9"/>
  <c r="J29" i="8"/>
  <c r="K29" i="8" s="1"/>
  <c r="L28" i="8"/>
  <c r="S30" i="8"/>
  <c r="E32" i="8"/>
  <c r="F31" i="8"/>
  <c r="R31" i="8" s="1"/>
  <c r="G30" i="8"/>
  <c r="H30" i="8" s="1"/>
  <c r="I30" i="8" s="1"/>
  <c r="J29" i="7"/>
  <c r="K29" i="7" s="1"/>
  <c r="S30" i="7"/>
  <c r="E32" i="7"/>
  <c r="F31" i="7"/>
  <c r="R31" i="7" s="1"/>
  <c r="T29" i="7"/>
  <c r="V29" i="7" s="1"/>
  <c r="U29" i="7"/>
  <c r="W29" i="7" s="1"/>
  <c r="G30" i="7"/>
  <c r="H30" i="7" s="1"/>
  <c r="I30" i="7" s="1"/>
  <c r="L28" i="7"/>
  <c r="W26" i="3"/>
  <c r="T27" i="3"/>
  <c r="V27" i="3" s="1"/>
  <c r="U27" i="3"/>
  <c r="G28" i="3"/>
  <c r="H28" i="3" s="1"/>
  <c r="I28" i="3" s="1"/>
  <c r="J28" i="3" s="1"/>
  <c r="K28" i="3" s="1"/>
  <c r="L28" i="3" s="1"/>
  <c r="R28" i="3"/>
  <c r="E30" i="3"/>
  <c r="F29" i="3"/>
  <c r="W30" i="10" l="1"/>
  <c r="V33" i="15"/>
  <c r="F33" i="15"/>
  <c r="Q33" i="15" s="1"/>
  <c r="E34" i="15"/>
  <c r="U33" i="15"/>
  <c r="I33" i="15"/>
  <c r="J33" i="15" s="1"/>
  <c r="H33" i="15"/>
  <c r="G33" i="15"/>
  <c r="L30" i="15"/>
  <c r="K31" i="15"/>
  <c r="T31" i="15"/>
  <c r="S31" i="15"/>
  <c r="R32" i="15"/>
  <c r="T31" i="14"/>
  <c r="S31" i="14"/>
  <c r="R32" i="14"/>
  <c r="E34" i="14"/>
  <c r="U33" i="14"/>
  <c r="I33" i="14"/>
  <c r="J33" i="14" s="1"/>
  <c r="H33" i="14"/>
  <c r="G33" i="14"/>
  <c r="V33" i="14"/>
  <c r="F33" i="14"/>
  <c r="Q33" i="14" s="1"/>
  <c r="K31" i="14"/>
  <c r="L30" i="14"/>
  <c r="T32" i="13"/>
  <c r="S32" i="13"/>
  <c r="T31" i="13"/>
  <c r="S31" i="13"/>
  <c r="V33" i="13"/>
  <c r="F33" i="13"/>
  <c r="Q33" i="13" s="1"/>
  <c r="E34" i="13"/>
  <c r="U33" i="13"/>
  <c r="I33" i="13"/>
  <c r="J33" i="13" s="1"/>
  <c r="H33" i="13"/>
  <c r="G33" i="13"/>
  <c r="K31" i="13"/>
  <c r="L30" i="13"/>
  <c r="J31" i="12"/>
  <c r="K31" i="12" s="1"/>
  <c r="T32" i="12"/>
  <c r="V32" i="12" s="1"/>
  <c r="S32" i="12"/>
  <c r="U32" i="12" s="1"/>
  <c r="F33" i="12"/>
  <c r="Q33" i="12" s="1"/>
  <c r="R33" i="12" s="1"/>
  <c r="E34" i="12"/>
  <c r="G32" i="12"/>
  <c r="H32" i="12" s="1"/>
  <c r="I32" i="12" s="1"/>
  <c r="L30" i="12"/>
  <c r="V31" i="11"/>
  <c r="J31" i="11"/>
  <c r="G32" i="11"/>
  <c r="H32" i="11" s="1"/>
  <c r="I32" i="11" s="1"/>
  <c r="R32" i="11"/>
  <c r="E34" i="11"/>
  <c r="F33" i="11"/>
  <c r="Q33" i="11" s="1"/>
  <c r="K31" i="11"/>
  <c r="L30" i="11"/>
  <c r="U31" i="10"/>
  <c r="T31" i="10"/>
  <c r="V31" i="10" s="1"/>
  <c r="F33" i="10"/>
  <c r="R33" i="10" s="1"/>
  <c r="E34" i="10"/>
  <c r="J30" i="10"/>
  <c r="K30" i="10" s="1"/>
  <c r="I31" i="10"/>
  <c r="L29" i="10"/>
  <c r="G32" i="10"/>
  <c r="H32" i="10" s="1"/>
  <c r="S32" i="10"/>
  <c r="J30" i="9"/>
  <c r="K30" i="9" s="1"/>
  <c r="U31" i="9"/>
  <c r="T31" i="9"/>
  <c r="V31" i="9" s="1"/>
  <c r="U30" i="9"/>
  <c r="T30" i="9"/>
  <c r="V30" i="9" s="1"/>
  <c r="G31" i="9"/>
  <c r="H31" i="9" s="1"/>
  <c r="I31" i="9" s="1"/>
  <c r="L29" i="9"/>
  <c r="E33" i="9"/>
  <c r="F32" i="9"/>
  <c r="R32" i="9" s="1"/>
  <c r="J30" i="8"/>
  <c r="T30" i="8"/>
  <c r="V30" i="8" s="1"/>
  <c r="U30" i="8"/>
  <c r="W30" i="8" s="1"/>
  <c r="E33" i="8"/>
  <c r="F32" i="8"/>
  <c r="R32" i="8" s="1"/>
  <c r="G31" i="8"/>
  <c r="H31" i="8" s="1"/>
  <c r="I31" i="8" s="1"/>
  <c r="K30" i="8"/>
  <c r="L29" i="8"/>
  <c r="S31" i="8"/>
  <c r="J30" i="7"/>
  <c r="S31" i="7"/>
  <c r="K30" i="7"/>
  <c r="L29" i="7"/>
  <c r="E33" i="7"/>
  <c r="F32" i="7"/>
  <c r="R32" i="7" s="1"/>
  <c r="G31" i="7"/>
  <c r="H31" i="7" s="1"/>
  <c r="I31" i="7" s="1"/>
  <c r="U30" i="7"/>
  <c r="T30" i="7"/>
  <c r="V30" i="7" s="1"/>
  <c r="W27" i="3"/>
  <c r="S28" i="3"/>
  <c r="G29" i="3"/>
  <c r="H29" i="3" s="1"/>
  <c r="I29" i="3" s="1"/>
  <c r="J29" i="3" s="1"/>
  <c r="K29" i="3" s="1"/>
  <c r="L29" i="3" s="1"/>
  <c r="R29" i="3"/>
  <c r="E31" i="3"/>
  <c r="F30" i="3"/>
  <c r="W31" i="10" l="1"/>
  <c r="L31" i="15"/>
  <c r="K32" i="15"/>
  <c r="T32" i="15"/>
  <c r="S32" i="15"/>
  <c r="V34" i="15"/>
  <c r="F34" i="15"/>
  <c r="Q34" i="15" s="1"/>
  <c r="E35" i="15"/>
  <c r="U34" i="15"/>
  <c r="I34" i="15"/>
  <c r="J34" i="15" s="1"/>
  <c r="H34" i="15"/>
  <c r="G34" i="15"/>
  <c r="R33" i="15"/>
  <c r="T32" i="14"/>
  <c r="S32" i="14"/>
  <c r="L31" i="14"/>
  <c r="K32" i="14"/>
  <c r="E35" i="14"/>
  <c r="U34" i="14"/>
  <c r="I34" i="14"/>
  <c r="J34" i="14" s="1"/>
  <c r="H34" i="14"/>
  <c r="G34" i="14"/>
  <c r="F34" i="14"/>
  <c r="Q34" i="14" s="1"/>
  <c r="V34" i="14"/>
  <c r="R33" i="14"/>
  <c r="V34" i="13"/>
  <c r="F34" i="13"/>
  <c r="Q34" i="13" s="1"/>
  <c r="E35" i="13"/>
  <c r="U34" i="13"/>
  <c r="I34" i="13"/>
  <c r="J34" i="13" s="1"/>
  <c r="H34" i="13"/>
  <c r="G34" i="13"/>
  <c r="R33" i="13"/>
  <c r="L31" i="13"/>
  <c r="K32" i="13"/>
  <c r="S33" i="12"/>
  <c r="U33" i="12" s="1"/>
  <c r="T33" i="12"/>
  <c r="V33" i="12" s="1"/>
  <c r="J32" i="12"/>
  <c r="K32" i="12" s="1"/>
  <c r="E35" i="12"/>
  <c r="F34" i="12"/>
  <c r="Q34" i="12" s="1"/>
  <c r="L31" i="12"/>
  <c r="G33" i="12"/>
  <c r="H33" i="12" s="1"/>
  <c r="I33" i="12" s="1"/>
  <c r="J32" i="11"/>
  <c r="T32" i="11"/>
  <c r="S32" i="11"/>
  <c r="U32" i="11" s="1"/>
  <c r="R33" i="11"/>
  <c r="E35" i="11"/>
  <c r="F34" i="11"/>
  <c r="Q34" i="11" s="1"/>
  <c r="K32" i="11"/>
  <c r="L31" i="11"/>
  <c r="G33" i="11"/>
  <c r="H33" i="11" s="1"/>
  <c r="I33" i="11" s="1"/>
  <c r="F34" i="10"/>
  <c r="R34" i="10" s="1"/>
  <c r="S34" i="10" s="1"/>
  <c r="E35" i="10"/>
  <c r="J31" i="10"/>
  <c r="I32" i="10"/>
  <c r="S33" i="10"/>
  <c r="U32" i="10"/>
  <c r="T32" i="10"/>
  <c r="V32" i="10" s="1"/>
  <c r="K31" i="10"/>
  <c r="L30" i="10"/>
  <c r="G33" i="10"/>
  <c r="H33" i="10" s="1"/>
  <c r="W31" i="9"/>
  <c r="J31" i="9"/>
  <c r="K31" i="9" s="1"/>
  <c r="S32" i="9"/>
  <c r="L30" i="9"/>
  <c r="E34" i="9"/>
  <c r="F33" i="9"/>
  <c r="R33" i="9" s="1"/>
  <c r="G32" i="9"/>
  <c r="H32" i="9" s="1"/>
  <c r="I32" i="9" s="1"/>
  <c r="W30" i="9"/>
  <c r="J31" i="8"/>
  <c r="S32" i="8"/>
  <c r="U31" i="8"/>
  <c r="T31" i="8"/>
  <c r="V31" i="8" s="1"/>
  <c r="F33" i="8"/>
  <c r="R33" i="8" s="1"/>
  <c r="E34" i="8"/>
  <c r="K31" i="8"/>
  <c r="L30" i="8"/>
  <c r="G32" i="8"/>
  <c r="H32" i="8" s="1"/>
  <c r="I32" i="8" s="1"/>
  <c r="J31" i="7"/>
  <c r="E34" i="7"/>
  <c r="F33" i="7"/>
  <c r="R33" i="7" s="1"/>
  <c r="S33" i="7" s="1"/>
  <c r="W30" i="7"/>
  <c r="K31" i="7"/>
  <c r="L30" i="7"/>
  <c r="S32" i="7"/>
  <c r="G32" i="7"/>
  <c r="H32" i="7" s="1"/>
  <c r="I32" i="7" s="1"/>
  <c r="U31" i="7"/>
  <c r="T31" i="7"/>
  <c r="V31" i="7" s="1"/>
  <c r="U28" i="3"/>
  <c r="T28" i="3"/>
  <c r="V28" i="3" s="1"/>
  <c r="S29" i="3"/>
  <c r="G30" i="3"/>
  <c r="H30" i="3" s="1"/>
  <c r="I30" i="3" s="1"/>
  <c r="J30" i="3" s="1"/>
  <c r="K30" i="3" s="1"/>
  <c r="L30" i="3" s="1"/>
  <c r="R30" i="3"/>
  <c r="S30" i="3" s="1"/>
  <c r="E32" i="3"/>
  <c r="F31" i="3"/>
  <c r="S33" i="9" l="1"/>
  <c r="T33" i="15"/>
  <c r="S33" i="15"/>
  <c r="V35" i="15"/>
  <c r="F35" i="15"/>
  <c r="Q35" i="15" s="1"/>
  <c r="E36" i="15"/>
  <c r="U35" i="15"/>
  <c r="I35" i="15"/>
  <c r="J35" i="15" s="1"/>
  <c r="H35" i="15"/>
  <c r="G35" i="15"/>
  <c r="R34" i="15"/>
  <c r="L32" i="15"/>
  <c r="K33" i="15"/>
  <c r="T33" i="14"/>
  <c r="S33" i="14"/>
  <c r="E36" i="14"/>
  <c r="U35" i="14"/>
  <c r="I35" i="14"/>
  <c r="J35" i="14" s="1"/>
  <c r="H35" i="14"/>
  <c r="G35" i="14"/>
  <c r="V35" i="14"/>
  <c r="F35" i="14"/>
  <c r="Q35" i="14" s="1"/>
  <c r="L32" i="14"/>
  <c r="K33" i="14"/>
  <c r="R34" i="14"/>
  <c r="V35" i="13"/>
  <c r="F35" i="13"/>
  <c r="Q35" i="13" s="1"/>
  <c r="E36" i="13"/>
  <c r="U35" i="13"/>
  <c r="I35" i="13"/>
  <c r="J35" i="13" s="1"/>
  <c r="H35" i="13"/>
  <c r="G35" i="13"/>
  <c r="T33" i="13"/>
  <c r="S33" i="13"/>
  <c r="K33" i="13"/>
  <c r="L32" i="13"/>
  <c r="R34" i="13"/>
  <c r="J33" i="12"/>
  <c r="K33" i="12" s="1"/>
  <c r="G34" i="12"/>
  <c r="H34" i="12" s="1"/>
  <c r="I34" i="12" s="1"/>
  <c r="R34" i="12"/>
  <c r="L32" i="12"/>
  <c r="E36" i="12"/>
  <c r="F35" i="12"/>
  <c r="Q35" i="12" s="1"/>
  <c r="V32" i="11"/>
  <c r="G34" i="11"/>
  <c r="H34" i="11" s="1"/>
  <c r="I34" i="11" s="1"/>
  <c r="J34" i="11" s="1"/>
  <c r="J33" i="11"/>
  <c r="T33" i="11"/>
  <c r="S33" i="11"/>
  <c r="U33" i="11" s="1"/>
  <c r="K33" i="11"/>
  <c r="L32" i="11"/>
  <c r="E36" i="11"/>
  <c r="F35" i="11"/>
  <c r="Q35" i="11" s="1"/>
  <c r="R34" i="11"/>
  <c r="W32" i="10"/>
  <c r="U34" i="10"/>
  <c r="T34" i="10"/>
  <c r="V34" i="10" s="1"/>
  <c r="U33" i="10"/>
  <c r="T33" i="10"/>
  <c r="V33" i="10" s="1"/>
  <c r="E36" i="10"/>
  <c r="F35" i="10"/>
  <c r="R35" i="10" s="1"/>
  <c r="L31" i="10"/>
  <c r="J32" i="10"/>
  <c r="K32" i="10" s="1"/>
  <c r="I33" i="10"/>
  <c r="G34" i="10"/>
  <c r="H34" i="10" s="1"/>
  <c r="J32" i="9"/>
  <c r="T33" i="9"/>
  <c r="V33" i="9" s="1"/>
  <c r="U33" i="9"/>
  <c r="K32" i="9"/>
  <c r="L31" i="9"/>
  <c r="U32" i="9"/>
  <c r="T32" i="9"/>
  <c r="V32" i="9" s="1"/>
  <c r="E35" i="9"/>
  <c r="F34" i="9"/>
  <c r="R34" i="9" s="1"/>
  <c r="S34" i="9" s="1"/>
  <c r="G33" i="9"/>
  <c r="H33" i="9" s="1"/>
  <c r="I33" i="9" s="1"/>
  <c r="W31" i="8"/>
  <c r="J32" i="8"/>
  <c r="K32" i="8" s="1"/>
  <c r="U32" i="8"/>
  <c r="T32" i="8"/>
  <c r="V32" i="8" s="1"/>
  <c r="S33" i="8"/>
  <c r="L31" i="8"/>
  <c r="G33" i="8"/>
  <c r="H33" i="8" s="1"/>
  <c r="I33" i="8" s="1"/>
  <c r="E35" i="8"/>
  <c r="F34" i="8"/>
  <c r="R34" i="8" s="1"/>
  <c r="J32" i="7"/>
  <c r="T33" i="7"/>
  <c r="V33" i="7" s="1"/>
  <c r="U33" i="7"/>
  <c r="W33" i="7" s="1"/>
  <c r="W31" i="7"/>
  <c r="E35" i="7"/>
  <c r="F34" i="7"/>
  <c r="R34" i="7" s="1"/>
  <c r="S34" i="7" s="1"/>
  <c r="K32" i="7"/>
  <c r="L31" i="7"/>
  <c r="G33" i="7"/>
  <c r="H33" i="7" s="1"/>
  <c r="I33" i="7" s="1"/>
  <c r="U32" i="7"/>
  <c r="T32" i="7"/>
  <c r="V32" i="7" s="1"/>
  <c r="T30" i="3"/>
  <c r="V30" i="3" s="1"/>
  <c r="U30" i="3"/>
  <c r="U29" i="3"/>
  <c r="T29" i="3"/>
  <c r="V29" i="3" s="1"/>
  <c r="W28" i="3"/>
  <c r="G31" i="3"/>
  <c r="H31" i="3" s="1"/>
  <c r="I31" i="3" s="1"/>
  <c r="J31" i="3" s="1"/>
  <c r="K31" i="3" s="1"/>
  <c r="L31" i="3" s="1"/>
  <c r="R31" i="3"/>
  <c r="S31" i="3" s="1"/>
  <c r="E33" i="3"/>
  <c r="F32" i="3"/>
  <c r="W33" i="9" l="1"/>
  <c r="V36" i="15"/>
  <c r="F36" i="15"/>
  <c r="Q36" i="15" s="1"/>
  <c r="E37" i="15"/>
  <c r="U36" i="15"/>
  <c r="I36" i="15"/>
  <c r="J36" i="15" s="1"/>
  <c r="H36" i="15"/>
  <c r="G36" i="15"/>
  <c r="T34" i="15"/>
  <c r="S34" i="15"/>
  <c r="L33" i="15"/>
  <c r="K34" i="15"/>
  <c r="R35" i="15"/>
  <c r="L33" i="14"/>
  <c r="K34" i="14"/>
  <c r="T34" i="14"/>
  <c r="S34" i="14"/>
  <c r="E37" i="14"/>
  <c r="U36" i="14"/>
  <c r="I36" i="14"/>
  <c r="J36" i="14" s="1"/>
  <c r="H36" i="14"/>
  <c r="G36" i="14"/>
  <c r="V36" i="14"/>
  <c r="F36" i="14"/>
  <c r="Q36" i="14" s="1"/>
  <c r="R35" i="14"/>
  <c r="V36" i="13"/>
  <c r="F36" i="13"/>
  <c r="Q36" i="13" s="1"/>
  <c r="E37" i="13"/>
  <c r="U36" i="13"/>
  <c r="I36" i="13"/>
  <c r="J36" i="13" s="1"/>
  <c r="H36" i="13"/>
  <c r="G36" i="13"/>
  <c r="T34" i="13"/>
  <c r="S34" i="13"/>
  <c r="L33" i="13"/>
  <c r="K34" i="13"/>
  <c r="R35" i="13"/>
  <c r="J34" i="12"/>
  <c r="K34" i="12" s="1"/>
  <c r="F36" i="12"/>
  <c r="Q36" i="12" s="1"/>
  <c r="R36" i="12" s="1"/>
  <c r="E37" i="12"/>
  <c r="L33" i="12"/>
  <c r="T34" i="12"/>
  <c r="S34" i="12"/>
  <c r="U34" i="12" s="1"/>
  <c r="R35" i="12"/>
  <c r="G35" i="12"/>
  <c r="H35" i="12" s="1"/>
  <c r="I35" i="12" s="1"/>
  <c r="V33" i="11"/>
  <c r="G35" i="11"/>
  <c r="H35" i="11" s="1"/>
  <c r="I35" i="11" s="1"/>
  <c r="J35" i="11" s="1"/>
  <c r="T34" i="11"/>
  <c r="S34" i="11"/>
  <c r="U34" i="11" s="1"/>
  <c r="E37" i="11"/>
  <c r="F36" i="11"/>
  <c r="Q36" i="11" s="1"/>
  <c r="K34" i="11"/>
  <c r="L33" i="11"/>
  <c r="R35" i="11"/>
  <c r="L32" i="10"/>
  <c r="G35" i="10"/>
  <c r="H35" i="10" s="1"/>
  <c r="E37" i="10"/>
  <c r="F36" i="10"/>
  <c r="R36" i="10" s="1"/>
  <c r="W33" i="10"/>
  <c r="J33" i="10"/>
  <c r="K33" i="10" s="1"/>
  <c r="I34" i="10"/>
  <c r="S35" i="10"/>
  <c r="W34" i="10"/>
  <c r="U34" i="9"/>
  <c r="T34" i="9"/>
  <c r="V34" i="9" s="1"/>
  <c r="J33" i="9"/>
  <c r="W32" i="9"/>
  <c r="E36" i="9"/>
  <c r="F35" i="9"/>
  <c r="R35" i="9" s="1"/>
  <c r="G34" i="9"/>
  <c r="H34" i="9" s="1"/>
  <c r="I34" i="9" s="1"/>
  <c r="K33" i="9"/>
  <c r="L32" i="9"/>
  <c r="J33" i="8"/>
  <c r="K33" i="8" s="1"/>
  <c r="L32" i="8"/>
  <c r="F35" i="8"/>
  <c r="R35" i="8" s="1"/>
  <c r="E36" i="8"/>
  <c r="G34" i="8"/>
  <c r="H34" i="8" s="1"/>
  <c r="I34" i="8" s="1"/>
  <c r="W32" i="8"/>
  <c r="S34" i="8"/>
  <c r="U33" i="8"/>
  <c r="T33" i="8"/>
  <c r="V33" i="8" s="1"/>
  <c r="W32" i="7"/>
  <c r="U34" i="7"/>
  <c r="T34" i="7"/>
  <c r="V34" i="7" s="1"/>
  <c r="J33" i="7"/>
  <c r="E36" i="7"/>
  <c r="F35" i="7"/>
  <c r="R35" i="7" s="1"/>
  <c r="G34" i="7"/>
  <c r="H34" i="7" s="1"/>
  <c r="I34" i="7" s="1"/>
  <c r="K33" i="7"/>
  <c r="L32" i="7"/>
  <c r="W30" i="3"/>
  <c r="T31" i="3"/>
  <c r="V31" i="3" s="1"/>
  <c r="U31" i="3"/>
  <c r="W29" i="3"/>
  <c r="G32" i="3"/>
  <c r="H32" i="3" s="1"/>
  <c r="I32" i="3" s="1"/>
  <c r="J32" i="3" s="1"/>
  <c r="K32" i="3" s="1"/>
  <c r="L32" i="3" s="1"/>
  <c r="R32" i="3"/>
  <c r="S32" i="3" s="1"/>
  <c r="E34" i="3"/>
  <c r="F33" i="3"/>
  <c r="W34" i="9" l="1"/>
  <c r="R36" i="15"/>
  <c r="V37" i="15"/>
  <c r="F37" i="15"/>
  <c r="Q37" i="15" s="1"/>
  <c r="E38" i="15"/>
  <c r="U37" i="15"/>
  <c r="I37" i="15"/>
  <c r="J37" i="15" s="1"/>
  <c r="H37" i="15"/>
  <c r="G37" i="15"/>
  <c r="T35" i="15"/>
  <c r="S35" i="15"/>
  <c r="L34" i="15"/>
  <c r="K35" i="15"/>
  <c r="L34" i="14"/>
  <c r="K35" i="14"/>
  <c r="T35" i="14"/>
  <c r="S35" i="14"/>
  <c r="E38" i="14"/>
  <c r="U37" i="14"/>
  <c r="I37" i="14"/>
  <c r="J37" i="14" s="1"/>
  <c r="H37" i="14"/>
  <c r="G37" i="14"/>
  <c r="V37" i="14"/>
  <c r="F37" i="14"/>
  <c r="Q37" i="14" s="1"/>
  <c r="R36" i="14"/>
  <c r="L34" i="13"/>
  <c r="K35" i="13"/>
  <c r="V37" i="13"/>
  <c r="F37" i="13"/>
  <c r="Q37" i="13" s="1"/>
  <c r="E38" i="13"/>
  <c r="U37" i="13"/>
  <c r="I37" i="13"/>
  <c r="J37" i="13" s="1"/>
  <c r="H37" i="13"/>
  <c r="G37" i="13"/>
  <c r="T35" i="13"/>
  <c r="S35" i="13"/>
  <c r="R36" i="13"/>
  <c r="T36" i="12"/>
  <c r="S36" i="12"/>
  <c r="U36" i="12" s="1"/>
  <c r="J35" i="12"/>
  <c r="K35" i="12" s="1"/>
  <c r="L34" i="12"/>
  <c r="G36" i="12"/>
  <c r="H36" i="12" s="1"/>
  <c r="I36" i="12" s="1"/>
  <c r="T35" i="12"/>
  <c r="V35" i="12" s="1"/>
  <c r="S35" i="12"/>
  <c r="U35" i="12" s="1"/>
  <c r="V34" i="12"/>
  <c r="F37" i="12"/>
  <c r="Q37" i="12" s="1"/>
  <c r="R37" i="12" s="1"/>
  <c r="E38" i="12"/>
  <c r="S35" i="11"/>
  <c r="U35" i="11" s="1"/>
  <c r="T35" i="11"/>
  <c r="L34" i="11"/>
  <c r="K35" i="11"/>
  <c r="R36" i="11"/>
  <c r="E38" i="11"/>
  <c r="F37" i="11"/>
  <c r="Q37" i="11" s="1"/>
  <c r="G36" i="11"/>
  <c r="H36" i="11" s="1"/>
  <c r="I36" i="11" s="1"/>
  <c r="J36" i="11" s="1"/>
  <c r="V34" i="11"/>
  <c r="L33" i="10"/>
  <c r="S36" i="10"/>
  <c r="J34" i="10"/>
  <c r="K34" i="10" s="1"/>
  <c r="I35" i="10"/>
  <c r="E38" i="10"/>
  <c r="F37" i="10"/>
  <c r="R37" i="10" s="1"/>
  <c r="T35" i="10"/>
  <c r="V35" i="10" s="1"/>
  <c r="U35" i="10"/>
  <c r="W35" i="10" s="1"/>
  <c r="G36" i="10"/>
  <c r="H36" i="10" s="1"/>
  <c r="J34" i="9"/>
  <c r="K34" i="9" s="1"/>
  <c r="S35" i="9"/>
  <c r="L33" i="9"/>
  <c r="G35" i="9"/>
  <c r="H35" i="9" s="1"/>
  <c r="I35" i="9" s="1"/>
  <c r="E37" i="9"/>
  <c r="F36" i="9"/>
  <c r="R36" i="9" s="1"/>
  <c r="S36" i="9" s="1"/>
  <c r="W33" i="8"/>
  <c r="J34" i="8"/>
  <c r="K34" i="8" s="1"/>
  <c r="L33" i="8"/>
  <c r="T34" i="8"/>
  <c r="V34" i="8" s="1"/>
  <c r="U34" i="8"/>
  <c r="W34" i="8" s="1"/>
  <c r="E37" i="8"/>
  <c r="F36" i="8"/>
  <c r="R36" i="8" s="1"/>
  <c r="G35" i="8"/>
  <c r="H35" i="8" s="1"/>
  <c r="I35" i="8" s="1"/>
  <c r="S35" i="8"/>
  <c r="W34" i="7"/>
  <c r="J34" i="7"/>
  <c r="G35" i="7"/>
  <c r="H35" i="7" s="1"/>
  <c r="I35" i="7" s="1"/>
  <c r="E37" i="7"/>
  <c r="F36" i="7"/>
  <c r="R36" i="7" s="1"/>
  <c r="K34" i="7"/>
  <c r="L33" i="7"/>
  <c r="S35" i="7"/>
  <c r="W31" i="3"/>
  <c r="U32" i="3"/>
  <c r="T32" i="3"/>
  <c r="V32" i="3" s="1"/>
  <c r="G33" i="3"/>
  <c r="H33" i="3" s="1"/>
  <c r="I33" i="3" s="1"/>
  <c r="J33" i="3" s="1"/>
  <c r="K33" i="3" s="1"/>
  <c r="L33" i="3" s="1"/>
  <c r="R33" i="3"/>
  <c r="S33" i="3" s="1"/>
  <c r="E35" i="3"/>
  <c r="F34" i="3"/>
  <c r="V35" i="11" l="1"/>
  <c r="R37" i="15"/>
  <c r="T36" i="15"/>
  <c r="S36" i="15"/>
  <c r="L35" i="15"/>
  <c r="K36" i="15"/>
  <c r="V38" i="15"/>
  <c r="F38" i="15"/>
  <c r="Q38" i="15" s="1"/>
  <c r="E39" i="15"/>
  <c r="U38" i="15"/>
  <c r="I38" i="15"/>
  <c r="J38" i="15" s="1"/>
  <c r="H38" i="15"/>
  <c r="G38" i="15"/>
  <c r="R37" i="14"/>
  <c r="L35" i="14"/>
  <c r="K36" i="14"/>
  <c r="T36" i="14"/>
  <c r="S36" i="14"/>
  <c r="E39" i="14"/>
  <c r="U38" i="14"/>
  <c r="I38" i="14"/>
  <c r="J38" i="14" s="1"/>
  <c r="H38" i="14"/>
  <c r="G38" i="14"/>
  <c r="V38" i="14"/>
  <c r="F38" i="14"/>
  <c r="Q38" i="14" s="1"/>
  <c r="R37" i="13"/>
  <c r="T36" i="13"/>
  <c r="S36" i="13"/>
  <c r="L35" i="13"/>
  <c r="K36" i="13"/>
  <c r="V38" i="13"/>
  <c r="F38" i="13"/>
  <c r="Q38" i="13" s="1"/>
  <c r="E39" i="13"/>
  <c r="U38" i="13"/>
  <c r="I38" i="13"/>
  <c r="J38" i="13" s="1"/>
  <c r="H38" i="13"/>
  <c r="G38" i="13"/>
  <c r="J36" i="12"/>
  <c r="K36" i="12" s="1"/>
  <c r="S37" i="12"/>
  <c r="U37" i="12" s="1"/>
  <c r="T37" i="12"/>
  <c r="V37" i="12" s="1"/>
  <c r="G37" i="12"/>
  <c r="H37" i="12" s="1"/>
  <c r="I37" i="12" s="1"/>
  <c r="L35" i="12"/>
  <c r="E39" i="12"/>
  <c r="F38" i="12"/>
  <c r="Q38" i="12" s="1"/>
  <c r="V36" i="12"/>
  <c r="K36" i="11"/>
  <c r="L35" i="11"/>
  <c r="T36" i="11"/>
  <c r="S36" i="11"/>
  <c r="U36" i="11" s="1"/>
  <c r="F38" i="11"/>
  <c r="Q38" i="11" s="1"/>
  <c r="E39" i="11"/>
  <c r="R37" i="11"/>
  <c r="G37" i="11"/>
  <c r="H37" i="11" s="1"/>
  <c r="I37" i="11" s="1"/>
  <c r="L34" i="10"/>
  <c r="J35" i="10"/>
  <c r="K35" i="10" s="1"/>
  <c r="I36" i="10"/>
  <c r="S37" i="10"/>
  <c r="F38" i="10"/>
  <c r="R38" i="10" s="1"/>
  <c r="S38" i="10" s="1"/>
  <c r="E39" i="10"/>
  <c r="G37" i="10"/>
  <c r="H37" i="10" s="1"/>
  <c r="U36" i="10"/>
  <c r="T36" i="10"/>
  <c r="V36" i="10" s="1"/>
  <c r="L34" i="9"/>
  <c r="J35" i="9"/>
  <c r="K35" i="9" s="1"/>
  <c r="U36" i="9"/>
  <c r="T36" i="9"/>
  <c r="V36" i="9" s="1"/>
  <c r="U35" i="9"/>
  <c r="T35" i="9"/>
  <c r="V35" i="9" s="1"/>
  <c r="G36" i="9"/>
  <c r="H36" i="9" s="1"/>
  <c r="I36" i="9" s="1"/>
  <c r="E38" i="9"/>
  <c r="F37" i="9"/>
  <c r="R37" i="9" s="1"/>
  <c r="J35" i="8"/>
  <c r="G36" i="8"/>
  <c r="H36" i="8" s="1"/>
  <c r="I36" i="8" s="1"/>
  <c r="S36" i="8"/>
  <c r="E38" i="8"/>
  <c r="F37" i="8"/>
  <c r="R37" i="8" s="1"/>
  <c r="U35" i="8"/>
  <c r="T35" i="8"/>
  <c r="V35" i="8" s="1"/>
  <c r="K35" i="8"/>
  <c r="L34" i="8"/>
  <c r="J35" i="7"/>
  <c r="K35" i="7" s="1"/>
  <c r="L34" i="7"/>
  <c r="S36" i="7"/>
  <c r="T35" i="7"/>
  <c r="V35" i="7" s="1"/>
  <c r="U35" i="7"/>
  <c r="E38" i="7"/>
  <c r="F37" i="7"/>
  <c r="R37" i="7" s="1"/>
  <c r="S37" i="7" s="1"/>
  <c r="G36" i="7"/>
  <c r="H36" i="7" s="1"/>
  <c r="I36" i="7" s="1"/>
  <c r="U33" i="3"/>
  <c r="T33" i="3"/>
  <c r="V33" i="3" s="1"/>
  <c r="W32" i="3"/>
  <c r="G34" i="3"/>
  <c r="H34" i="3" s="1"/>
  <c r="I34" i="3" s="1"/>
  <c r="J34" i="3" s="1"/>
  <c r="K34" i="3" s="1"/>
  <c r="L34" i="3" s="1"/>
  <c r="R34" i="3"/>
  <c r="S34" i="3" s="1"/>
  <c r="E36" i="3"/>
  <c r="F35" i="3"/>
  <c r="L36" i="15" l="1"/>
  <c r="K37" i="15"/>
  <c r="V39" i="15"/>
  <c r="F39" i="15"/>
  <c r="Q39" i="15" s="1"/>
  <c r="E40" i="15"/>
  <c r="U39" i="15"/>
  <c r="I39" i="15"/>
  <c r="J39" i="15" s="1"/>
  <c r="H39" i="15"/>
  <c r="G39" i="15"/>
  <c r="T37" i="15"/>
  <c r="S37" i="15"/>
  <c r="R38" i="15"/>
  <c r="L36" i="14"/>
  <c r="K37" i="14"/>
  <c r="E40" i="14"/>
  <c r="U39" i="14"/>
  <c r="I39" i="14"/>
  <c r="J39" i="14" s="1"/>
  <c r="H39" i="14"/>
  <c r="G39" i="14"/>
  <c r="V39" i="14"/>
  <c r="F39" i="14"/>
  <c r="Q39" i="14" s="1"/>
  <c r="T37" i="14"/>
  <c r="S37" i="14"/>
  <c r="R38" i="14"/>
  <c r="T37" i="13"/>
  <c r="S37" i="13"/>
  <c r="L36" i="13"/>
  <c r="K37" i="13"/>
  <c r="V39" i="13"/>
  <c r="F39" i="13"/>
  <c r="Q39" i="13" s="1"/>
  <c r="E40" i="13"/>
  <c r="U39" i="13"/>
  <c r="I39" i="13"/>
  <c r="J39" i="13" s="1"/>
  <c r="H39" i="13"/>
  <c r="G39" i="13"/>
  <c r="R38" i="13"/>
  <c r="J37" i="12"/>
  <c r="R38" i="12"/>
  <c r="E40" i="12"/>
  <c r="F39" i="12"/>
  <c r="Q39" i="12" s="1"/>
  <c r="K37" i="12"/>
  <c r="L36" i="12"/>
  <c r="G38" i="12"/>
  <c r="H38" i="12" s="1"/>
  <c r="I38" i="12" s="1"/>
  <c r="V36" i="11"/>
  <c r="J37" i="11"/>
  <c r="T37" i="11"/>
  <c r="S37" i="11"/>
  <c r="U37" i="11" s="1"/>
  <c r="G38" i="11"/>
  <c r="H38" i="11" s="1"/>
  <c r="I38" i="11" s="1"/>
  <c r="E40" i="11"/>
  <c r="F39" i="11"/>
  <c r="Q39" i="11" s="1"/>
  <c r="K37" i="11"/>
  <c r="L36" i="11"/>
  <c r="R38" i="11"/>
  <c r="L35" i="10"/>
  <c r="U38" i="10"/>
  <c r="T38" i="10"/>
  <c r="V38" i="10" s="1"/>
  <c r="W36" i="10"/>
  <c r="U37" i="10"/>
  <c r="T37" i="10"/>
  <c r="V37" i="10" s="1"/>
  <c r="G38" i="10"/>
  <c r="H38" i="10" s="1"/>
  <c r="E40" i="10"/>
  <c r="F39" i="10"/>
  <c r="R39" i="10" s="1"/>
  <c r="S39" i="10" s="1"/>
  <c r="J36" i="10"/>
  <c r="K36" i="10" s="1"/>
  <c r="I37" i="10"/>
  <c r="W36" i="9"/>
  <c r="J36" i="9"/>
  <c r="K36" i="9" s="1"/>
  <c r="L35" i="9"/>
  <c r="S37" i="9"/>
  <c r="G37" i="9"/>
  <c r="H37" i="9" s="1"/>
  <c r="I37" i="9" s="1"/>
  <c r="W35" i="9"/>
  <c r="E39" i="9"/>
  <c r="F38" i="9"/>
  <c r="R38" i="9" s="1"/>
  <c r="J36" i="8"/>
  <c r="K36" i="8" s="1"/>
  <c r="L35" i="8"/>
  <c r="E39" i="8"/>
  <c r="F38" i="8"/>
  <c r="R38" i="8" s="1"/>
  <c r="T36" i="8"/>
  <c r="V36" i="8" s="1"/>
  <c r="U36" i="8"/>
  <c r="G37" i="8"/>
  <c r="H37" i="8" s="1"/>
  <c r="I37" i="8" s="1"/>
  <c r="W35" i="8"/>
  <c r="S37" i="8"/>
  <c r="W35" i="7"/>
  <c r="U37" i="7"/>
  <c r="T37" i="7"/>
  <c r="V37" i="7" s="1"/>
  <c r="J36" i="7"/>
  <c r="K36" i="7" s="1"/>
  <c r="L35" i="7"/>
  <c r="G37" i="7"/>
  <c r="H37" i="7" s="1"/>
  <c r="I37" i="7" s="1"/>
  <c r="U36" i="7"/>
  <c r="W36" i="7" s="1"/>
  <c r="T36" i="7"/>
  <c r="V36" i="7" s="1"/>
  <c r="E39" i="7"/>
  <c r="F38" i="7"/>
  <c r="R38" i="7" s="1"/>
  <c r="S38" i="7" s="1"/>
  <c r="T34" i="3"/>
  <c r="V34" i="3" s="1"/>
  <c r="U34" i="3"/>
  <c r="W33" i="3"/>
  <c r="G35" i="3"/>
  <c r="H35" i="3" s="1"/>
  <c r="I35" i="3" s="1"/>
  <c r="J35" i="3" s="1"/>
  <c r="K35" i="3" s="1"/>
  <c r="L35" i="3" s="1"/>
  <c r="R35" i="3"/>
  <c r="E37" i="3"/>
  <c r="F36" i="3"/>
  <c r="T38" i="15" l="1"/>
  <c r="S38" i="15"/>
  <c r="L37" i="15"/>
  <c r="K38" i="15"/>
  <c r="V40" i="15"/>
  <c r="F40" i="15"/>
  <c r="Q40" i="15" s="1"/>
  <c r="E41" i="15"/>
  <c r="U40" i="15"/>
  <c r="I40" i="15"/>
  <c r="J40" i="15" s="1"/>
  <c r="H40" i="15"/>
  <c r="G40" i="15"/>
  <c r="R39" i="15"/>
  <c r="L37" i="14"/>
  <c r="K38" i="14"/>
  <c r="E41" i="14"/>
  <c r="U40" i="14"/>
  <c r="I40" i="14"/>
  <c r="J40" i="14" s="1"/>
  <c r="H40" i="14"/>
  <c r="G40" i="14"/>
  <c r="V40" i="14"/>
  <c r="F40" i="14"/>
  <c r="Q40" i="14" s="1"/>
  <c r="R39" i="14"/>
  <c r="T38" i="14"/>
  <c r="S38" i="14"/>
  <c r="V40" i="13"/>
  <c r="F40" i="13"/>
  <c r="Q40" i="13" s="1"/>
  <c r="R40" i="13" s="1"/>
  <c r="E41" i="13"/>
  <c r="U40" i="13"/>
  <c r="I40" i="13"/>
  <c r="J40" i="13" s="1"/>
  <c r="H40" i="13"/>
  <c r="G40" i="13"/>
  <c r="T38" i="13"/>
  <c r="S38" i="13"/>
  <c r="L37" i="13"/>
  <c r="K38" i="13"/>
  <c r="R39" i="13"/>
  <c r="J38" i="12"/>
  <c r="K38" i="12" s="1"/>
  <c r="L37" i="12"/>
  <c r="T38" i="12"/>
  <c r="S38" i="12"/>
  <c r="U38" i="12" s="1"/>
  <c r="V40" i="12"/>
  <c r="F40" i="12"/>
  <c r="Q40" i="12" s="1"/>
  <c r="R40" i="12" s="1"/>
  <c r="I40" i="12"/>
  <c r="J40" i="12" s="1"/>
  <c r="E41" i="12"/>
  <c r="H40" i="12"/>
  <c r="U40" i="12"/>
  <c r="G40" i="12"/>
  <c r="G39" i="12"/>
  <c r="H39" i="12" s="1"/>
  <c r="I39" i="12" s="1"/>
  <c r="J39" i="12" s="1"/>
  <c r="R39" i="12"/>
  <c r="V37" i="11"/>
  <c r="J38" i="11"/>
  <c r="K38" i="11" s="1"/>
  <c r="L37" i="11"/>
  <c r="R39" i="11"/>
  <c r="E41" i="11"/>
  <c r="F40" i="11"/>
  <c r="Q40" i="11" s="1"/>
  <c r="T38" i="11"/>
  <c r="S38" i="11"/>
  <c r="U38" i="11" s="1"/>
  <c r="G39" i="11"/>
  <c r="H39" i="11" s="1"/>
  <c r="I39" i="11" s="1"/>
  <c r="W38" i="10"/>
  <c r="L36" i="10"/>
  <c r="J37" i="10"/>
  <c r="K37" i="10" s="1"/>
  <c r="I38" i="10"/>
  <c r="E41" i="10"/>
  <c r="F40" i="10"/>
  <c r="R40" i="10" s="1"/>
  <c r="W37" i="10"/>
  <c r="G39" i="10"/>
  <c r="H39" i="10" s="1"/>
  <c r="T39" i="10"/>
  <c r="V39" i="10" s="1"/>
  <c r="U39" i="10"/>
  <c r="J37" i="9"/>
  <c r="K37" i="9" s="1"/>
  <c r="E40" i="9"/>
  <c r="F39" i="9"/>
  <c r="R39" i="9" s="1"/>
  <c r="L36" i="9"/>
  <c r="G38" i="9"/>
  <c r="H38" i="9" s="1"/>
  <c r="I38" i="9" s="1"/>
  <c r="U37" i="9"/>
  <c r="T37" i="9"/>
  <c r="V37" i="9" s="1"/>
  <c r="S38" i="9"/>
  <c r="L36" i="8"/>
  <c r="J37" i="8"/>
  <c r="K37" i="8" s="1"/>
  <c r="U37" i="8"/>
  <c r="T37" i="8"/>
  <c r="V37" i="8" s="1"/>
  <c r="G38" i="8"/>
  <c r="H38" i="8" s="1"/>
  <c r="I38" i="8" s="1"/>
  <c r="S38" i="8"/>
  <c r="W36" i="8"/>
  <c r="E40" i="8"/>
  <c r="F39" i="8"/>
  <c r="R39" i="8" s="1"/>
  <c r="U38" i="7"/>
  <c r="T38" i="7"/>
  <c r="V38" i="7" s="1"/>
  <c r="J37" i="7"/>
  <c r="K37" i="7" s="1"/>
  <c r="E40" i="7"/>
  <c r="F39" i="7"/>
  <c r="R39" i="7" s="1"/>
  <c r="G38" i="7"/>
  <c r="H38" i="7" s="1"/>
  <c r="I38" i="7" s="1"/>
  <c r="L36" i="7"/>
  <c r="W37" i="7"/>
  <c r="W34" i="3"/>
  <c r="S35" i="3"/>
  <c r="G36" i="3"/>
  <c r="H36" i="3" s="1"/>
  <c r="I36" i="3" s="1"/>
  <c r="J36" i="3" s="1"/>
  <c r="K36" i="3" s="1"/>
  <c r="L36" i="3" s="1"/>
  <c r="R36" i="3"/>
  <c r="S36" i="3" s="1"/>
  <c r="E38" i="3"/>
  <c r="F37" i="3"/>
  <c r="V41" i="15" l="1"/>
  <c r="E42" i="15"/>
  <c r="F41" i="15"/>
  <c r="Q41" i="15" s="1"/>
  <c r="I41" i="15"/>
  <c r="J41" i="15" s="1"/>
  <c r="H41" i="15"/>
  <c r="U41" i="15"/>
  <c r="G41" i="15"/>
  <c r="L38" i="15"/>
  <c r="K39" i="15"/>
  <c r="T39" i="15"/>
  <c r="S39" i="15"/>
  <c r="R40" i="15"/>
  <c r="E42" i="14"/>
  <c r="U41" i="14"/>
  <c r="I41" i="14"/>
  <c r="J41" i="14" s="1"/>
  <c r="H41" i="14"/>
  <c r="G41" i="14"/>
  <c r="V41" i="14"/>
  <c r="F41" i="14"/>
  <c r="Q41" i="14" s="1"/>
  <c r="T39" i="14"/>
  <c r="S39" i="14"/>
  <c r="L38" i="14"/>
  <c r="K39" i="14"/>
  <c r="R41" i="14"/>
  <c r="R40" i="14"/>
  <c r="T39" i="13"/>
  <c r="S39" i="13"/>
  <c r="F41" i="13"/>
  <c r="Q41" i="13" s="1"/>
  <c r="R41" i="13" s="1"/>
  <c r="V41" i="13"/>
  <c r="I41" i="13"/>
  <c r="J41" i="13" s="1"/>
  <c r="U41" i="13"/>
  <c r="H41" i="13"/>
  <c r="E42" i="13"/>
  <c r="G41" i="13"/>
  <c r="T40" i="13"/>
  <c r="S40" i="13"/>
  <c r="L38" i="13"/>
  <c r="K39" i="13"/>
  <c r="T40" i="12"/>
  <c r="S40" i="12"/>
  <c r="T39" i="12"/>
  <c r="V39" i="12" s="1"/>
  <c r="S39" i="12"/>
  <c r="U39" i="12" s="1"/>
  <c r="H41" i="12"/>
  <c r="G41" i="12"/>
  <c r="V41" i="12"/>
  <c r="F41" i="12"/>
  <c r="Q41" i="12" s="1"/>
  <c r="E42" i="12"/>
  <c r="I41" i="12"/>
  <c r="J41" i="12" s="1"/>
  <c r="U41" i="12"/>
  <c r="L38" i="12"/>
  <c r="K39" i="12"/>
  <c r="V38" i="12"/>
  <c r="J39" i="11"/>
  <c r="V38" i="11"/>
  <c r="R40" i="11"/>
  <c r="K39" i="11"/>
  <c r="L38" i="11"/>
  <c r="S39" i="11"/>
  <c r="U39" i="11" s="1"/>
  <c r="T39" i="11"/>
  <c r="V39" i="11" s="1"/>
  <c r="E42" i="11"/>
  <c r="F41" i="11"/>
  <c r="Q41" i="11" s="1"/>
  <c r="G40" i="11"/>
  <c r="H40" i="11" s="1"/>
  <c r="I40" i="11" s="1"/>
  <c r="L37" i="10"/>
  <c r="W39" i="10"/>
  <c r="E42" i="10"/>
  <c r="F41" i="10"/>
  <c r="R41" i="10" s="1"/>
  <c r="S41" i="10" s="1"/>
  <c r="J38" i="10"/>
  <c r="K38" i="10" s="1"/>
  <c r="I39" i="10"/>
  <c r="S40" i="10"/>
  <c r="G40" i="10"/>
  <c r="H40" i="10" s="1"/>
  <c r="W37" i="9"/>
  <c r="J38" i="9"/>
  <c r="K38" i="9" s="1"/>
  <c r="L37" i="9"/>
  <c r="T38" i="9"/>
  <c r="V38" i="9" s="1"/>
  <c r="U38" i="9"/>
  <c r="G39" i="9"/>
  <c r="H39" i="9" s="1"/>
  <c r="I39" i="9" s="1"/>
  <c r="S39" i="9"/>
  <c r="E41" i="9"/>
  <c r="F40" i="9"/>
  <c r="R40" i="9" s="1"/>
  <c r="J38" i="8"/>
  <c r="K38" i="8" s="1"/>
  <c r="L37" i="8"/>
  <c r="G39" i="8"/>
  <c r="H39" i="8" s="1"/>
  <c r="I39" i="8" s="1"/>
  <c r="E41" i="8"/>
  <c r="F40" i="8"/>
  <c r="R40" i="8" s="1"/>
  <c r="U38" i="8"/>
  <c r="T38" i="8"/>
  <c r="V38" i="8" s="1"/>
  <c r="W37" i="8"/>
  <c r="S39" i="8"/>
  <c r="J38" i="7"/>
  <c r="K38" i="7" s="1"/>
  <c r="S39" i="7"/>
  <c r="L37" i="7"/>
  <c r="E41" i="7"/>
  <c r="F40" i="7"/>
  <c r="R40" i="7" s="1"/>
  <c r="G39" i="7"/>
  <c r="H39" i="7" s="1"/>
  <c r="I39" i="7" s="1"/>
  <c r="W38" i="7"/>
  <c r="U36" i="3"/>
  <c r="T36" i="3"/>
  <c r="V36" i="3" s="1"/>
  <c r="T35" i="3"/>
  <c r="V35" i="3" s="1"/>
  <c r="U35" i="3"/>
  <c r="G37" i="3"/>
  <c r="H37" i="3" s="1"/>
  <c r="I37" i="3" s="1"/>
  <c r="J37" i="3" s="1"/>
  <c r="K37" i="3" s="1"/>
  <c r="L37" i="3" s="1"/>
  <c r="R37" i="3"/>
  <c r="S37" i="3" s="1"/>
  <c r="E39" i="3"/>
  <c r="F38" i="3"/>
  <c r="T40" i="15" l="1"/>
  <c r="S40" i="15"/>
  <c r="R41" i="15"/>
  <c r="L39" i="15"/>
  <c r="K40" i="15"/>
  <c r="V42" i="15"/>
  <c r="F42" i="15"/>
  <c r="Q42" i="15" s="1"/>
  <c r="E43" i="15"/>
  <c r="U42" i="15"/>
  <c r="I42" i="15"/>
  <c r="J42" i="15" s="1"/>
  <c r="H42" i="15"/>
  <c r="G42" i="15"/>
  <c r="T41" i="14"/>
  <c r="S41" i="14"/>
  <c r="L39" i="14"/>
  <c r="K40" i="14"/>
  <c r="T40" i="14"/>
  <c r="S40" i="14"/>
  <c r="E43" i="14"/>
  <c r="U42" i="14"/>
  <c r="I42" i="14"/>
  <c r="J42" i="14" s="1"/>
  <c r="H42" i="14"/>
  <c r="G42" i="14"/>
  <c r="V42" i="14"/>
  <c r="F42" i="14"/>
  <c r="Q42" i="14" s="1"/>
  <c r="T41" i="13"/>
  <c r="S41" i="13"/>
  <c r="L39" i="13"/>
  <c r="K40" i="13"/>
  <c r="H42" i="13"/>
  <c r="V42" i="13"/>
  <c r="I42" i="13"/>
  <c r="J42" i="13" s="1"/>
  <c r="E43" i="13"/>
  <c r="G42" i="13"/>
  <c r="U42" i="13"/>
  <c r="F42" i="13"/>
  <c r="Q42" i="13" s="1"/>
  <c r="L39" i="12"/>
  <c r="K40" i="12"/>
  <c r="R41" i="12"/>
  <c r="H42" i="12"/>
  <c r="G42" i="12"/>
  <c r="V42" i="12"/>
  <c r="F42" i="12"/>
  <c r="Q42" i="12" s="1"/>
  <c r="E43" i="12"/>
  <c r="I42" i="12"/>
  <c r="J42" i="12" s="1"/>
  <c r="U42" i="12"/>
  <c r="J40" i="11"/>
  <c r="K40" i="11" s="1"/>
  <c r="L39" i="11"/>
  <c r="R41" i="11"/>
  <c r="G41" i="11"/>
  <c r="H41" i="11" s="1"/>
  <c r="I41" i="11" s="1"/>
  <c r="T40" i="11"/>
  <c r="S40" i="11"/>
  <c r="U40" i="11" s="1"/>
  <c r="E43" i="11"/>
  <c r="F42" i="11"/>
  <c r="Q42" i="11" s="1"/>
  <c r="U41" i="10"/>
  <c r="T41" i="10"/>
  <c r="V41" i="10" s="1"/>
  <c r="L38" i="10"/>
  <c r="G41" i="10"/>
  <c r="H41" i="10" s="1"/>
  <c r="U40" i="10"/>
  <c r="T40" i="10"/>
  <c r="V40" i="10" s="1"/>
  <c r="J39" i="10"/>
  <c r="K39" i="10" s="1"/>
  <c r="I40" i="10"/>
  <c r="E43" i="10"/>
  <c r="F42" i="10"/>
  <c r="R42" i="10" s="1"/>
  <c r="S42" i="10" s="1"/>
  <c r="W38" i="9"/>
  <c r="J39" i="9"/>
  <c r="K39" i="9" s="1"/>
  <c r="L38" i="9"/>
  <c r="U39" i="9"/>
  <c r="T39" i="9"/>
  <c r="V39" i="9" s="1"/>
  <c r="F41" i="9"/>
  <c r="R41" i="9" s="1"/>
  <c r="E42" i="9"/>
  <c r="S40" i="9"/>
  <c r="G40" i="9"/>
  <c r="H40" i="9" s="1"/>
  <c r="I40" i="9" s="1"/>
  <c r="L38" i="8"/>
  <c r="J39" i="8"/>
  <c r="K39" i="8" s="1"/>
  <c r="W38" i="8"/>
  <c r="E42" i="8"/>
  <c r="F41" i="8"/>
  <c r="R41" i="8" s="1"/>
  <c r="U39" i="8"/>
  <c r="T39" i="8"/>
  <c r="V39" i="8" s="1"/>
  <c r="S40" i="8"/>
  <c r="G40" i="8"/>
  <c r="H40" i="8" s="1"/>
  <c r="I40" i="8" s="1"/>
  <c r="G40" i="7"/>
  <c r="H40" i="7" s="1"/>
  <c r="I40" i="7" s="1"/>
  <c r="J40" i="7" s="1"/>
  <c r="J39" i="7"/>
  <c r="K39" i="7" s="1"/>
  <c r="L38" i="7"/>
  <c r="S40" i="7"/>
  <c r="E42" i="7"/>
  <c r="F41" i="7"/>
  <c r="R41" i="7" s="1"/>
  <c r="T39" i="7"/>
  <c r="V39" i="7" s="1"/>
  <c r="U39" i="7"/>
  <c r="W39" i="7" s="1"/>
  <c r="W35" i="3"/>
  <c r="U37" i="3"/>
  <c r="T37" i="3"/>
  <c r="V37" i="3" s="1"/>
  <c r="W36" i="3"/>
  <c r="G38" i="3"/>
  <c r="H38" i="3" s="1"/>
  <c r="I38" i="3" s="1"/>
  <c r="J38" i="3" s="1"/>
  <c r="K38" i="3" s="1"/>
  <c r="L38" i="3" s="1"/>
  <c r="R38" i="3"/>
  <c r="S38" i="3" s="1"/>
  <c r="E40" i="3"/>
  <c r="F39" i="3"/>
  <c r="L40" i="15" l="1"/>
  <c r="K41" i="15"/>
  <c r="V43" i="15"/>
  <c r="F43" i="15"/>
  <c r="Q43" i="15" s="1"/>
  <c r="E44" i="15"/>
  <c r="U43" i="15"/>
  <c r="I43" i="15"/>
  <c r="J43" i="15" s="1"/>
  <c r="H43" i="15"/>
  <c r="G43" i="15"/>
  <c r="T41" i="15"/>
  <c r="S41" i="15"/>
  <c r="R42" i="15"/>
  <c r="H43" i="14"/>
  <c r="V43" i="14"/>
  <c r="U43" i="14"/>
  <c r="I43" i="14"/>
  <c r="J43" i="14" s="1"/>
  <c r="G43" i="14"/>
  <c r="F43" i="14"/>
  <c r="Q43" i="14" s="1"/>
  <c r="R43" i="14" s="1"/>
  <c r="E44" i="14"/>
  <c r="L40" i="14"/>
  <c r="K41" i="14"/>
  <c r="R42" i="14"/>
  <c r="H43" i="13"/>
  <c r="G43" i="13"/>
  <c r="V43" i="13"/>
  <c r="F43" i="13"/>
  <c r="Q43" i="13" s="1"/>
  <c r="E44" i="13"/>
  <c r="I43" i="13"/>
  <c r="J43" i="13" s="1"/>
  <c r="U43" i="13"/>
  <c r="L40" i="13"/>
  <c r="K41" i="13"/>
  <c r="R42" i="13"/>
  <c r="T41" i="12"/>
  <c r="S41" i="12"/>
  <c r="H43" i="12"/>
  <c r="G43" i="12"/>
  <c r="V43" i="12"/>
  <c r="F43" i="12"/>
  <c r="Q43" i="12" s="1"/>
  <c r="U43" i="12"/>
  <c r="E44" i="12"/>
  <c r="I43" i="12"/>
  <c r="J43" i="12" s="1"/>
  <c r="K41" i="12"/>
  <c r="L40" i="12"/>
  <c r="R42" i="12"/>
  <c r="J41" i="11"/>
  <c r="R42" i="11"/>
  <c r="E44" i="11"/>
  <c r="F43" i="11"/>
  <c r="Q43" i="11" s="1"/>
  <c r="R43" i="11" s="1"/>
  <c r="T41" i="11"/>
  <c r="S41" i="11"/>
  <c r="U41" i="11" s="1"/>
  <c r="G42" i="11"/>
  <c r="H42" i="11" s="1"/>
  <c r="I42" i="11" s="1"/>
  <c r="V40" i="11"/>
  <c r="K41" i="11"/>
  <c r="L40" i="11"/>
  <c r="W40" i="10"/>
  <c r="L39" i="10"/>
  <c r="U42" i="10"/>
  <c r="T42" i="10"/>
  <c r="V42" i="10" s="1"/>
  <c r="E44" i="10"/>
  <c r="F43" i="10"/>
  <c r="R43" i="10" s="1"/>
  <c r="G42" i="10"/>
  <c r="H42" i="10" s="1"/>
  <c r="J40" i="10"/>
  <c r="K40" i="10" s="1"/>
  <c r="I41" i="10"/>
  <c r="W41" i="10"/>
  <c r="J40" i="9"/>
  <c r="K40" i="9" s="1"/>
  <c r="L39" i="9"/>
  <c r="E43" i="9"/>
  <c r="F42" i="9"/>
  <c r="R42" i="9" s="1"/>
  <c r="U40" i="9"/>
  <c r="T40" i="9"/>
  <c r="V40" i="9" s="1"/>
  <c r="G41" i="9"/>
  <c r="H41" i="9" s="1"/>
  <c r="I41" i="9" s="1"/>
  <c r="S41" i="9"/>
  <c r="W39" i="9"/>
  <c r="J40" i="8"/>
  <c r="K40" i="8" s="1"/>
  <c r="L39" i="8"/>
  <c r="T40" i="8"/>
  <c r="V40" i="8" s="1"/>
  <c r="U40" i="8"/>
  <c r="G41" i="8"/>
  <c r="H41" i="8" s="1"/>
  <c r="I41" i="8" s="1"/>
  <c r="W39" i="8"/>
  <c r="E43" i="8"/>
  <c r="F42" i="8"/>
  <c r="R42" i="8" s="1"/>
  <c r="S41" i="8"/>
  <c r="S41" i="7"/>
  <c r="G41" i="7"/>
  <c r="H41" i="7" s="1"/>
  <c r="I41" i="7" s="1"/>
  <c r="J41" i="7" s="1"/>
  <c r="E43" i="7"/>
  <c r="F42" i="7"/>
  <c r="R42" i="7" s="1"/>
  <c r="U40" i="7"/>
  <c r="T40" i="7"/>
  <c r="V40" i="7" s="1"/>
  <c r="K40" i="7"/>
  <c r="L39" i="7"/>
  <c r="T38" i="3"/>
  <c r="V38" i="3" s="1"/>
  <c r="U38" i="3"/>
  <c r="W37" i="3"/>
  <c r="G39" i="3"/>
  <c r="H39" i="3" s="1"/>
  <c r="I39" i="3" s="1"/>
  <c r="J39" i="3" s="1"/>
  <c r="K39" i="3" s="1"/>
  <c r="L39" i="3" s="1"/>
  <c r="R39" i="3"/>
  <c r="E41" i="3"/>
  <c r="F40" i="3"/>
  <c r="R43" i="15" l="1"/>
  <c r="T42" i="15"/>
  <c r="S42" i="15"/>
  <c r="K42" i="15"/>
  <c r="L41" i="15"/>
  <c r="V44" i="15"/>
  <c r="F44" i="15"/>
  <c r="Q44" i="15" s="1"/>
  <c r="E45" i="15"/>
  <c r="U44" i="15"/>
  <c r="I44" i="15"/>
  <c r="J44" i="15" s="1"/>
  <c r="H44" i="15"/>
  <c r="G44" i="15"/>
  <c r="T43" i="14"/>
  <c r="S43" i="14"/>
  <c r="T42" i="14"/>
  <c r="S42" i="14"/>
  <c r="H44" i="14"/>
  <c r="G44" i="14"/>
  <c r="V44" i="14"/>
  <c r="F44" i="14"/>
  <c r="Q44" i="14" s="1"/>
  <c r="R44" i="14" s="1"/>
  <c r="E45" i="14"/>
  <c r="I44" i="14"/>
  <c r="J44" i="14" s="1"/>
  <c r="U44" i="14"/>
  <c r="L41" i="14"/>
  <c r="K42" i="14"/>
  <c r="L41" i="13"/>
  <c r="K42" i="13"/>
  <c r="T42" i="13"/>
  <c r="S42" i="13"/>
  <c r="H44" i="13"/>
  <c r="G44" i="13"/>
  <c r="V44" i="13"/>
  <c r="F44" i="13"/>
  <c r="Q44" i="13" s="1"/>
  <c r="U44" i="13"/>
  <c r="E45" i="13"/>
  <c r="I44" i="13"/>
  <c r="J44" i="13" s="1"/>
  <c r="R43" i="13"/>
  <c r="T42" i="12"/>
  <c r="S42" i="12"/>
  <c r="L41" i="12"/>
  <c r="K42" i="12"/>
  <c r="R43" i="12"/>
  <c r="H44" i="12"/>
  <c r="G44" i="12"/>
  <c r="V44" i="12"/>
  <c r="F44" i="12"/>
  <c r="Q44" i="12" s="1"/>
  <c r="E45" i="12"/>
  <c r="I44" i="12"/>
  <c r="J44" i="12" s="1"/>
  <c r="U44" i="12"/>
  <c r="V41" i="11"/>
  <c r="S43" i="11"/>
  <c r="U43" i="11" s="1"/>
  <c r="T43" i="11"/>
  <c r="V43" i="11" s="1"/>
  <c r="J42" i="11"/>
  <c r="K42" i="11" s="1"/>
  <c r="L41" i="11"/>
  <c r="E45" i="11"/>
  <c r="F44" i="11"/>
  <c r="Q44" i="11" s="1"/>
  <c r="R44" i="11" s="1"/>
  <c r="G43" i="11"/>
  <c r="H43" i="11" s="1"/>
  <c r="I43" i="11" s="1"/>
  <c r="T42" i="11"/>
  <c r="S42" i="11"/>
  <c r="U42" i="11" s="1"/>
  <c r="L40" i="10"/>
  <c r="W42" i="10"/>
  <c r="E45" i="10"/>
  <c r="F44" i="10"/>
  <c r="R44" i="10" s="1"/>
  <c r="J41" i="10"/>
  <c r="K41" i="10" s="1"/>
  <c r="I42" i="10"/>
  <c r="S43" i="10"/>
  <c r="G43" i="10"/>
  <c r="H43" i="10" s="1"/>
  <c r="L40" i="9"/>
  <c r="J41" i="9"/>
  <c r="K41" i="9" s="1"/>
  <c r="W40" i="9"/>
  <c r="E44" i="9"/>
  <c r="F43" i="9"/>
  <c r="R43" i="9" s="1"/>
  <c r="U41" i="9"/>
  <c r="T41" i="9"/>
  <c r="V41" i="9" s="1"/>
  <c r="G42" i="9"/>
  <c r="H42" i="9" s="1"/>
  <c r="I42" i="9" s="1"/>
  <c r="S42" i="9"/>
  <c r="W40" i="8"/>
  <c r="J41" i="8"/>
  <c r="K41" i="8" s="1"/>
  <c r="G42" i="8"/>
  <c r="H42" i="8" s="1"/>
  <c r="I42" i="8" s="1"/>
  <c r="L40" i="8"/>
  <c r="U41" i="8"/>
  <c r="T41" i="8"/>
  <c r="V41" i="8" s="1"/>
  <c r="F43" i="8"/>
  <c r="R43" i="8" s="1"/>
  <c r="S43" i="8" s="1"/>
  <c r="E44" i="8"/>
  <c r="S42" i="8"/>
  <c r="U41" i="7"/>
  <c r="T41" i="7"/>
  <c r="V41" i="7" s="1"/>
  <c r="W40" i="7"/>
  <c r="E44" i="7"/>
  <c r="F43" i="7"/>
  <c r="R43" i="7" s="1"/>
  <c r="L40" i="7"/>
  <c r="K41" i="7"/>
  <c r="G42" i="7"/>
  <c r="H42" i="7" s="1"/>
  <c r="I42" i="7" s="1"/>
  <c r="S42" i="7"/>
  <c r="W38" i="3"/>
  <c r="S39" i="3"/>
  <c r="G40" i="3"/>
  <c r="H40" i="3" s="1"/>
  <c r="I40" i="3" s="1"/>
  <c r="J40" i="3" s="1"/>
  <c r="K40" i="3" s="1"/>
  <c r="L40" i="3" s="1"/>
  <c r="R40" i="3"/>
  <c r="S40" i="3" s="1"/>
  <c r="E42" i="3"/>
  <c r="F41" i="3"/>
  <c r="G45" i="15" l="1"/>
  <c r="V45" i="15"/>
  <c r="F45" i="15"/>
  <c r="Q45" i="15" s="1"/>
  <c r="E46" i="15"/>
  <c r="U45" i="15"/>
  <c r="I45" i="15"/>
  <c r="J45" i="15" s="1"/>
  <c r="H45" i="15"/>
  <c r="L42" i="15"/>
  <c r="K43" i="15"/>
  <c r="T43" i="15"/>
  <c r="S43" i="15"/>
  <c r="R44" i="15"/>
  <c r="T44" i="14"/>
  <c r="S44" i="14"/>
  <c r="L42" i="14"/>
  <c r="K43" i="14"/>
  <c r="H45" i="14"/>
  <c r="G45" i="14"/>
  <c r="V45" i="14"/>
  <c r="F45" i="14"/>
  <c r="Q45" i="14" s="1"/>
  <c r="E46" i="14"/>
  <c r="I45" i="14"/>
  <c r="J45" i="14" s="1"/>
  <c r="U45" i="14"/>
  <c r="L42" i="13"/>
  <c r="K43" i="13"/>
  <c r="T43" i="13"/>
  <c r="S43" i="13"/>
  <c r="H45" i="13"/>
  <c r="G45" i="13"/>
  <c r="V45" i="13"/>
  <c r="F45" i="13"/>
  <c r="Q45" i="13" s="1"/>
  <c r="R45" i="13" s="1"/>
  <c r="E46" i="13"/>
  <c r="I45" i="13"/>
  <c r="J45" i="13" s="1"/>
  <c r="U45" i="13"/>
  <c r="R44" i="13"/>
  <c r="H45" i="12"/>
  <c r="G45" i="12"/>
  <c r="V45" i="12"/>
  <c r="F45" i="12"/>
  <c r="Q45" i="12" s="1"/>
  <c r="E46" i="12"/>
  <c r="I45" i="12"/>
  <c r="J45" i="12" s="1"/>
  <c r="U45" i="12"/>
  <c r="L42" i="12"/>
  <c r="K43" i="12"/>
  <c r="T43" i="12"/>
  <c r="S43" i="12"/>
  <c r="R44" i="12"/>
  <c r="J43" i="11"/>
  <c r="T44" i="11"/>
  <c r="V44" i="11" s="1"/>
  <c r="S44" i="11"/>
  <c r="U44" i="11" s="1"/>
  <c r="V42" i="11"/>
  <c r="G44" i="11"/>
  <c r="H44" i="11" s="1"/>
  <c r="I44" i="11" s="1"/>
  <c r="E46" i="11"/>
  <c r="F45" i="11"/>
  <c r="Q45" i="11" s="1"/>
  <c r="K43" i="11"/>
  <c r="L42" i="11"/>
  <c r="L41" i="10"/>
  <c r="T43" i="10"/>
  <c r="V43" i="10" s="1"/>
  <c r="U43" i="10"/>
  <c r="W43" i="10" s="1"/>
  <c r="E46" i="10"/>
  <c r="F45" i="10"/>
  <c r="R45" i="10" s="1"/>
  <c r="S45" i="10" s="1"/>
  <c r="J42" i="10"/>
  <c r="K42" i="10" s="1"/>
  <c r="I43" i="10"/>
  <c r="G44" i="10"/>
  <c r="H44" i="10" s="1"/>
  <c r="S44" i="10"/>
  <c r="J42" i="9"/>
  <c r="K42" i="9" s="1"/>
  <c r="L41" i="9"/>
  <c r="W41" i="9"/>
  <c r="T42" i="9"/>
  <c r="V42" i="9" s="1"/>
  <c r="U42" i="9"/>
  <c r="S43" i="9"/>
  <c r="E45" i="9"/>
  <c r="F44" i="9"/>
  <c r="R44" i="9" s="1"/>
  <c r="G43" i="9"/>
  <c r="H43" i="9" s="1"/>
  <c r="I43" i="9" s="1"/>
  <c r="W41" i="8"/>
  <c r="U43" i="8"/>
  <c r="T43" i="8"/>
  <c r="V43" i="8" s="1"/>
  <c r="J42" i="8"/>
  <c r="K42" i="8" s="1"/>
  <c r="L41" i="8"/>
  <c r="U42" i="8"/>
  <c r="T42" i="8"/>
  <c r="V42" i="8" s="1"/>
  <c r="G43" i="8"/>
  <c r="H43" i="8" s="1"/>
  <c r="I43" i="8" s="1"/>
  <c r="E45" i="8"/>
  <c r="F44" i="8"/>
  <c r="R44" i="8" s="1"/>
  <c r="J42" i="7"/>
  <c r="K42" i="7"/>
  <c r="L41" i="7"/>
  <c r="U42" i="7"/>
  <c r="T42" i="7"/>
  <c r="V42" i="7" s="1"/>
  <c r="W41" i="7"/>
  <c r="S43" i="7"/>
  <c r="E45" i="7"/>
  <c r="F44" i="7"/>
  <c r="R44" i="7" s="1"/>
  <c r="S44" i="7" s="1"/>
  <c r="G43" i="7"/>
  <c r="H43" i="7" s="1"/>
  <c r="I43" i="7" s="1"/>
  <c r="U40" i="3"/>
  <c r="T40" i="3"/>
  <c r="V40" i="3" s="1"/>
  <c r="T39" i="3"/>
  <c r="V39" i="3" s="1"/>
  <c r="U39" i="3"/>
  <c r="G41" i="3"/>
  <c r="H41" i="3" s="1"/>
  <c r="I41" i="3" s="1"/>
  <c r="J41" i="3" s="1"/>
  <c r="K41" i="3" s="1"/>
  <c r="L41" i="3" s="1"/>
  <c r="R41" i="3"/>
  <c r="S41" i="3" s="1"/>
  <c r="E43" i="3"/>
  <c r="F42" i="3"/>
  <c r="W42" i="7" l="1"/>
  <c r="S44" i="15"/>
  <c r="T44" i="15"/>
  <c r="K44" i="15"/>
  <c r="L43" i="15"/>
  <c r="R45" i="15"/>
  <c r="G46" i="15"/>
  <c r="V46" i="15"/>
  <c r="F46" i="15"/>
  <c r="Q46" i="15" s="1"/>
  <c r="E47" i="15"/>
  <c r="U46" i="15"/>
  <c r="I46" i="15"/>
  <c r="J46" i="15" s="1"/>
  <c r="H46" i="15"/>
  <c r="L43" i="14"/>
  <c r="K44" i="14"/>
  <c r="H46" i="14"/>
  <c r="G46" i="14"/>
  <c r="V46" i="14"/>
  <c r="F46" i="14"/>
  <c r="Q46" i="14" s="1"/>
  <c r="E47" i="14"/>
  <c r="I46" i="14"/>
  <c r="J46" i="14" s="1"/>
  <c r="U46" i="14"/>
  <c r="R45" i="14"/>
  <c r="T45" i="13"/>
  <c r="S45" i="13"/>
  <c r="H46" i="13"/>
  <c r="G46" i="13"/>
  <c r="V46" i="13"/>
  <c r="F46" i="13"/>
  <c r="Q46" i="13" s="1"/>
  <c r="E47" i="13"/>
  <c r="I46" i="13"/>
  <c r="J46" i="13" s="1"/>
  <c r="U46" i="13"/>
  <c r="L43" i="13"/>
  <c r="K44" i="13"/>
  <c r="T44" i="13"/>
  <c r="S44" i="13"/>
  <c r="L43" i="12"/>
  <c r="K44" i="12"/>
  <c r="R45" i="12"/>
  <c r="T44" i="12"/>
  <c r="S44" i="12"/>
  <c r="H46" i="12"/>
  <c r="G46" i="12"/>
  <c r="V46" i="12"/>
  <c r="F46" i="12"/>
  <c r="Q46" i="12" s="1"/>
  <c r="R46" i="12" s="1"/>
  <c r="E47" i="12"/>
  <c r="I46" i="12"/>
  <c r="J46" i="12" s="1"/>
  <c r="U46" i="12"/>
  <c r="J44" i="11"/>
  <c r="K44" i="11" s="1"/>
  <c r="L43" i="11"/>
  <c r="G45" i="11"/>
  <c r="H45" i="11" s="1"/>
  <c r="I45" i="11" s="1"/>
  <c r="R45" i="11"/>
  <c r="E47" i="11"/>
  <c r="F46" i="11"/>
  <c r="Q46" i="11" s="1"/>
  <c r="L42" i="10"/>
  <c r="T45" i="10"/>
  <c r="V45" i="10" s="1"/>
  <c r="U45" i="10"/>
  <c r="J43" i="10"/>
  <c r="K43" i="10" s="1"/>
  <c r="I44" i="10"/>
  <c r="U44" i="10"/>
  <c r="T44" i="10"/>
  <c r="V44" i="10" s="1"/>
  <c r="E47" i="10"/>
  <c r="F46" i="10"/>
  <c r="R46" i="10" s="1"/>
  <c r="S46" i="10" s="1"/>
  <c r="G45" i="10"/>
  <c r="H45" i="10" s="1"/>
  <c r="W42" i="9"/>
  <c r="L42" i="9"/>
  <c r="J43" i="9"/>
  <c r="K43" i="9" s="1"/>
  <c r="F45" i="9"/>
  <c r="R45" i="9" s="1"/>
  <c r="E46" i="9"/>
  <c r="G44" i="9"/>
  <c r="H44" i="9" s="1"/>
  <c r="I44" i="9" s="1"/>
  <c r="U43" i="9"/>
  <c r="T43" i="9"/>
  <c r="V43" i="9" s="1"/>
  <c r="S44" i="9"/>
  <c r="W43" i="8"/>
  <c r="W42" i="8"/>
  <c r="J43" i="8"/>
  <c r="K43" i="8" s="1"/>
  <c r="S44" i="8"/>
  <c r="G44" i="8"/>
  <c r="H44" i="8" s="1"/>
  <c r="I44" i="8" s="1"/>
  <c r="E46" i="8"/>
  <c r="F45" i="8"/>
  <c r="R45" i="8" s="1"/>
  <c r="L42" i="8"/>
  <c r="J43" i="7"/>
  <c r="U44" i="7"/>
  <c r="T44" i="7"/>
  <c r="V44" i="7" s="1"/>
  <c r="E46" i="7"/>
  <c r="F45" i="7"/>
  <c r="R45" i="7" s="1"/>
  <c r="T43" i="7"/>
  <c r="V43" i="7" s="1"/>
  <c r="U43" i="7"/>
  <c r="G44" i="7"/>
  <c r="H44" i="7" s="1"/>
  <c r="I44" i="7" s="1"/>
  <c r="K43" i="7"/>
  <c r="L42" i="7"/>
  <c r="W39" i="3"/>
  <c r="U41" i="3"/>
  <c r="T41" i="3"/>
  <c r="V41" i="3" s="1"/>
  <c r="W40" i="3"/>
  <c r="G42" i="3"/>
  <c r="H42" i="3" s="1"/>
  <c r="I42" i="3" s="1"/>
  <c r="J42" i="3" s="1"/>
  <c r="K42" i="3" s="1"/>
  <c r="L42" i="3" s="1"/>
  <c r="R42" i="3"/>
  <c r="S42" i="3" s="1"/>
  <c r="E44" i="3"/>
  <c r="F43" i="3"/>
  <c r="W43" i="7" l="1"/>
  <c r="W45" i="10"/>
  <c r="G47" i="15"/>
  <c r="V47" i="15"/>
  <c r="F47" i="15"/>
  <c r="Q47" i="15" s="1"/>
  <c r="E48" i="15"/>
  <c r="U47" i="15"/>
  <c r="I47" i="15"/>
  <c r="J47" i="15" s="1"/>
  <c r="H47" i="15"/>
  <c r="S45" i="15"/>
  <c r="T45" i="15"/>
  <c r="K45" i="15"/>
  <c r="L44" i="15"/>
  <c r="R46" i="15"/>
  <c r="T45" i="14"/>
  <c r="S45" i="14"/>
  <c r="L44" i="14"/>
  <c r="K45" i="14"/>
  <c r="H47" i="14"/>
  <c r="G47" i="14"/>
  <c r="V47" i="14"/>
  <c r="F47" i="14"/>
  <c r="Q47" i="14" s="1"/>
  <c r="R47" i="14" s="1"/>
  <c r="U47" i="14"/>
  <c r="I47" i="14"/>
  <c r="J47" i="14" s="1"/>
  <c r="E48" i="14"/>
  <c r="R46" i="14"/>
  <c r="H47" i="13"/>
  <c r="G47" i="13"/>
  <c r="V47" i="13"/>
  <c r="F47" i="13"/>
  <c r="Q47" i="13" s="1"/>
  <c r="E48" i="13"/>
  <c r="I47" i="13"/>
  <c r="J47" i="13" s="1"/>
  <c r="U47" i="13"/>
  <c r="R46" i="13"/>
  <c r="L44" i="13"/>
  <c r="K45" i="13"/>
  <c r="L44" i="12"/>
  <c r="K45" i="12"/>
  <c r="H47" i="12"/>
  <c r="G47" i="12"/>
  <c r="V47" i="12"/>
  <c r="F47" i="12"/>
  <c r="Q47" i="12" s="1"/>
  <c r="U47" i="12"/>
  <c r="I47" i="12"/>
  <c r="J47" i="12" s="1"/>
  <c r="E48" i="12"/>
  <c r="T45" i="12"/>
  <c r="S45" i="12"/>
  <c r="T46" i="12"/>
  <c r="S46" i="12"/>
  <c r="R47" i="12"/>
  <c r="J45" i="11"/>
  <c r="S45" i="11"/>
  <c r="U45" i="11" s="1"/>
  <c r="T45" i="11"/>
  <c r="G46" i="11"/>
  <c r="H46" i="11" s="1"/>
  <c r="I46" i="11" s="1"/>
  <c r="K45" i="11"/>
  <c r="L44" i="11"/>
  <c r="E48" i="11"/>
  <c r="F47" i="11"/>
  <c r="Q47" i="11" s="1"/>
  <c r="R47" i="11" s="1"/>
  <c r="R46" i="11"/>
  <c r="W44" i="10"/>
  <c r="L43" i="10"/>
  <c r="U46" i="10"/>
  <c r="T46" i="10"/>
  <c r="V46" i="10" s="1"/>
  <c r="G46" i="10"/>
  <c r="H46" i="10" s="1"/>
  <c r="E48" i="10"/>
  <c r="F47" i="10"/>
  <c r="R47" i="10" s="1"/>
  <c r="J44" i="10"/>
  <c r="K44" i="10" s="1"/>
  <c r="I45" i="10"/>
  <c r="W43" i="9"/>
  <c r="J44" i="9"/>
  <c r="K44" i="9" s="1"/>
  <c r="L43" i="9"/>
  <c r="U44" i="9"/>
  <c r="T44" i="9"/>
  <c r="V44" i="9" s="1"/>
  <c r="G45" i="9"/>
  <c r="H45" i="9" s="1"/>
  <c r="I45" i="9" s="1"/>
  <c r="E47" i="9"/>
  <c r="F46" i="9"/>
  <c r="R46" i="9" s="1"/>
  <c r="S45" i="9"/>
  <c r="J44" i="8"/>
  <c r="E47" i="8"/>
  <c r="F46" i="8"/>
  <c r="R46" i="8" s="1"/>
  <c r="S45" i="8"/>
  <c r="K44" i="8"/>
  <c r="L43" i="8"/>
  <c r="G45" i="8"/>
  <c r="H45" i="8" s="1"/>
  <c r="I45" i="8" s="1"/>
  <c r="T44" i="8"/>
  <c r="V44" i="8" s="1"/>
  <c r="U44" i="8"/>
  <c r="J44" i="7"/>
  <c r="K44" i="7" s="1"/>
  <c r="S45" i="7"/>
  <c r="E47" i="7"/>
  <c r="F46" i="7"/>
  <c r="R46" i="7" s="1"/>
  <c r="W44" i="7"/>
  <c r="G45" i="7"/>
  <c r="H45" i="7" s="1"/>
  <c r="I45" i="7" s="1"/>
  <c r="L43" i="7"/>
  <c r="W41" i="3"/>
  <c r="T42" i="3"/>
  <c r="V42" i="3" s="1"/>
  <c r="U42" i="3"/>
  <c r="G43" i="3"/>
  <c r="H43" i="3" s="1"/>
  <c r="I43" i="3" s="1"/>
  <c r="J43" i="3" s="1"/>
  <c r="K43" i="3" s="1"/>
  <c r="L43" i="3" s="1"/>
  <c r="R43" i="3"/>
  <c r="E45" i="3"/>
  <c r="F44" i="3"/>
  <c r="K46" i="15" l="1"/>
  <c r="L45" i="15"/>
  <c r="G48" i="15"/>
  <c r="V48" i="15"/>
  <c r="F48" i="15"/>
  <c r="Q48" i="15" s="1"/>
  <c r="R48" i="15" s="1"/>
  <c r="E49" i="15"/>
  <c r="U48" i="15"/>
  <c r="I48" i="15"/>
  <c r="J48" i="15" s="1"/>
  <c r="H48" i="15"/>
  <c r="S46" i="15"/>
  <c r="T46" i="15"/>
  <c r="R47" i="15"/>
  <c r="T47" i="14"/>
  <c r="S47" i="14"/>
  <c r="T46" i="14"/>
  <c r="S46" i="14"/>
  <c r="H48" i="14"/>
  <c r="G48" i="14"/>
  <c r="V48" i="14"/>
  <c r="F48" i="14"/>
  <c r="Q48" i="14" s="1"/>
  <c r="E49" i="14"/>
  <c r="I48" i="14"/>
  <c r="J48" i="14" s="1"/>
  <c r="U48" i="14"/>
  <c r="L45" i="14"/>
  <c r="K46" i="14"/>
  <c r="T46" i="13"/>
  <c r="S46" i="13"/>
  <c r="H48" i="13"/>
  <c r="G48" i="13"/>
  <c r="V48" i="13"/>
  <c r="F48" i="13"/>
  <c r="Q48" i="13" s="1"/>
  <c r="U48" i="13"/>
  <c r="I48" i="13"/>
  <c r="J48" i="13" s="1"/>
  <c r="E49" i="13"/>
  <c r="L45" i="13"/>
  <c r="K46" i="13"/>
  <c r="R47" i="13"/>
  <c r="T47" i="12"/>
  <c r="S47" i="12"/>
  <c r="H48" i="12"/>
  <c r="G48" i="12"/>
  <c r="V48" i="12"/>
  <c r="F48" i="12"/>
  <c r="Q48" i="12" s="1"/>
  <c r="E49" i="12"/>
  <c r="I48" i="12"/>
  <c r="J48" i="12" s="1"/>
  <c r="U48" i="12"/>
  <c r="L45" i="12"/>
  <c r="K46" i="12"/>
  <c r="V45" i="11"/>
  <c r="G47" i="11"/>
  <c r="H47" i="11" s="1"/>
  <c r="I47" i="11" s="1"/>
  <c r="J47" i="11" s="1"/>
  <c r="J46" i="11"/>
  <c r="K46" i="11" s="1"/>
  <c r="T47" i="11"/>
  <c r="S47" i="11"/>
  <c r="U47" i="11" s="1"/>
  <c r="T46" i="11"/>
  <c r="S46" i="11"/>
  <c r="U46" i="11" s="1"/>
  <c r="F48" i="11"/>
  <c r="Q48" i="11" s="1"/>
  <c r="E49" i="11"/>
  <c r="L45" i="11"/>
  <c r="L44" i="10"/>
  <c r="W46" i="10"/>
  <c r="J45" i="10"/>
  <c r="K45" i="10" s="1"/>
  <c r="I46" i="10"/>
  <c r="G47" i="10"/>
  <c r="H47" i="10" s="1"/>
  <c r="F48" i="10"/>
  <c r="R48" i="10" s="1"/>
  <c r="E49" i="10"/>
  <c r="S47" i="10"/>
  <c r="L44" i="9"/>
  <c r="J45" i="9"/>
  <c r="K45" i="9" s="1"/>
  <c r="E48" i="9"/>
  <c r="F47" i="9"/>
  <c r="R47" i="9" s="1"/>
  <c r="S47" i="9" s="1"/>
  <c r="W44" i="9"/>
  <c r="U45" i="9"/>
  <c r="T45" i="9"/>
  <c r="V45" i="9" s="1"/>
  <c r="G46" i="9"/>
  <c r="H46" i="9" s="1"/>
  <c r="I46" i="9" s="1"/>
  <c r="S46" i="9"/>
  <c r="J45" i="8"/>
  <c r="W44" i="8"/>
  <c r="K45" i="8"/>
  <c r="L44" i="8"/>
  <c r="F47" i="8"/>
  <c r="R47" i="8" s="1"/>
  <c r="S47" i="8" s="1"/>
  <c r="E48" i="8"/>
  <c r="S46" i="8"/>
  <c r="U45" i="8"/>
  <c r="T45" i="8"/>
  <c r="V45" i="8" s="1"/>
  <c r="G46" i="8"/>
  <c r="H46" i="8" s="1"/>
  <c r="I46" i="8" s="1"/>
  <c r="J45" i="7"/>
  <c r="K45" i="7" s="1"/>
  <c r="E48" i="7"/>
  <c r="F47" i="7"/>
  <c r="R47" i="7" s="1"/>
  <c r="S47" i="7" s="1"/>
  <c r="T45" i="7"/>
  <c r="V45" i="7" s="1"/>
  <c r="U45" i="7"/>
  <c r="W45" i="7" s="1"/>
  <c r="L44" i="7"/>
  <c r="S46" i="7"/>
  <c r="G46" i="7"/>
  <c r="H46" i="7" s="1"/>
  <c r="I46" i="7" s="1"/>
  <c r="W42" i="3"/>
  <c r="S43" i="3"/>
  <c r="G44" i="3"/>
  <c r="H44" i="3" s="1"/>
  <c r="I44" i="3" s="1"/>
  <c r="J44" i="3" s="1"/>
  <c r="K44" i="3" s="1"/>
  <c r="L44" i="3" s="1"/>
  <c r="R44" i="3"/>
  <c r="S44" i="3" s="1"/>
  <c r="E46" i="3"/>
  <c r="F45" i="3"/>
  <c r="S48" i="15" l="1"/>
  <c r="T48" i="15"/>
  <c r="G49" i="15"/>
  <c r="V49" i="15"/>
  <c r="F49" i="15"/>
  <c r="Q49" i="15" s="1"/>
  <c r="E50" i="15"/>
  <c r="U49" i="15"/>
  <c r="I49" i="15"/>
  <c r="J49" i="15" s="1"/>
  <c r="H49" i="15"/>
  <c r="S47" i="15"/>
  <c r="T47" i="15"/>
  <c r="K47" i="15"/>
  <c r="L46" i="15"/>
  <c r="R48" i="14"/>
  <c r="L46" i="14"/>
  <c r="K47" i="14"/>
  <c r="H49" i="14"/>
  <c r="G49" i="14"/>
  <c r="V49" i="14"/>
  <c r="F49" i="14"/>
  <c r="Q49" i="14" s="1"/>
  <c r="E50" i="14"/>
  <c r="I49" i="14"/>
  <c r="J49" i="14" s="1"/>
  <c r="U49" i="14"/>
  <c r="H49" i="13"/>
  <c r="G49" i="13"/>
  <c r="V49" i="13"/>
  <c r="F49" i="13"/>
  <c r="Q49" i="13" s="1"/>
  <c r="E50" i="13"/>
  <c r="I49" i="13"/>
  <c r="J49" i="13" s="1"/>
  <c r="U49" i="13"/>
  <c r="T47" i="13"/>
  <c r="S47" i="13"/>
  <c r="L46" i="13"/>
  <c r="K47" i="13"/>
  <c r="R48" i="13"/>
  <c r="L46" i="12"/>
  <c r="K47" i="12"/>
  <c r="H49" i="12"/>
  <c r="G49" i="12"/>
  <c r="V49" i="12"/>
  <c r="F49" i="12"/>
  <c r="Q49" i="12" s="1"/>
  <c r="E50" i="12"/>
  <c r="I49" i="12"/>
  <c r="J49" i="12" s="1"/>
  <c r="U49" i="12"/>
  <c r="R48" i="12"/>
  <c r="E50" i="11"/>
  <c r="F49" i="11"/>
  <c r="Q49" i="11" s="1"/>
  <c r="K47" i="11"/>
  <c r="L46" i="11"/>
  <c r="V47" i="11"/>
  <c r="V46" i="11"/>
  <c r="R48" i="11"/>
  <c r="G48" i="11"/>
  <c r="H48" i="11" s="1"/>
  <c r="I48" i="11" s="1"/>
  <c r="L45" i="10"/>
  <c r="J46" i="10"/>
  <c r="K46" i="10" s="1"/>
  <c r="I47" i="10"/>
  <c r="U47" i="10"/>
  <c r="W47" i="10" s="1"/>
  <c r="T47" i="10"/>
  <c r="V47" i="10" s="1"/>
  <c r="G48" i="10"/>
  <c r="H48" i="10" s="1"/>
  <c r="E50" i="10"/>
  <c r="F49" i="10"/>
  <c r="R49" i="10" s="1"/>
  <c r="S49" i="10" s="1"/>
  <c r="S48" i="10"/>
  <c r="W45" i="9"/>
  <c r="U47" i="9"/>
  <c r="T47" i="9"/>
  <c r="V47" i="9" s="1"/>
  <c r="J46" i="9"/>
  <c r="K46" i="9" s="1"/>
  <c r="L45" i="9"/>
  <c r="G47" i="9"/>
  <c r="H47" i="9" s="1"/>
  <c r="I47" i="9" s="1"/>
  <c r="U46" i="9"/>
  <c r="T46" i="9"/>
  <c r="V46" i="9" s="1"/>
  <c r="E49" i="9"/>
  <c r="F48" i="9"/>
  <c r="R48" i="9" s="1"/>
  <c r="W45" i="8"/>
  <c r="U47" i="8"/>
  <c r="T47" i="8"/>
  <c r="V47" i="8" s="1"/>
  <c r="J46" i="8"/>
  <c r="T46" i="8"/>
  <c r="V46" i="8" s="1"/>
  <c r="U46" i="8"/>
  <c r="G47" i="8"/>
  <c r="H47" i="8" s="1"/>
  <c r="I47" i="8" s="1"/>
  <c r="K46" i="8"/>
  <c r="L45" i="8"/>
  <c r="E49" i="8"/>
  <c r="F48" i="8"/>
  <c r="R48" i="8" s="1"/>
  <c r="U47" i="7"/>
  <c r="T47" i="7"/>
  <c r="V47" i="7" s="1"/>
  <c r="J46" i="7"/>
  <c r="K46" i="7" s="1"/>
  <c r="L45" i="7"/>
  <c r="G47" i="7"/>
  <c r="H47" i="7" s="1"/>
  <c r="I47" i="7" s="1"/>
  <c r="J47" i="7" s="1"/>
  <c r="U46" i="7"/>
  <c r="T46" i="7"/>
  <c r="V46" i="7" s="1"/>
  <c r="F48" i="7"/>
  <c r="R48" i="7" s="1"/>
  <c r="E49" i="7"/>
  <c r="U44" i="3"/>
  <c r="T44" i="3"/>
  <c r="V44" i="3" s="1"/>
  <c r="T43" i="3"/>
  <c r="V43" i="3" s="1"/>
  <c r="U43" i="3"/>
  <c r="G45" i="3"/>
  <c r="H45" i="3" s="1"/>
  <c r="I45" i="3" s="1"/>
  <c r="J45" i="3" s="1"/>
  <c r="K45" i="3" s="1"/>
  <c r="L45" i="3" s="1"/>
  <c r="R45" i="3"/>
  <c r="S45" i="3" s="1"/>
  <c r="E47" i="3"/>
  <c r="F46" i="3"/>
  <c r="W46" i="8" l="1"/>
  <c r="R49" i="15"/>
  <c r="G50" i="15"/>
  <c r="V50" i="15"/>
  <c r="F50" i="15"/>
  <c r="Q50" i="15" s="1"/>
  <c r="E51" i="15"/>
  <c r="U50" i="15"/>
  <c r="I50" i="15"/>
  <c r="J50" i="15" s="1"/>
  <c r="H50" i="15"/>
  <c r="K48" i="15"/>
  <c r="L47" i="15"/>
  <c r="L47" i="14"/>
  <c r="K48" i="14"/>
  <c r="T48" i="14"/>
  <c r="S48" i="14"/>
  <c r="H50" i="14"/>
  <c r="G50" i="14"/>
  <c r="V50" i="14"/>
  <c r="F50" i="14"/>
  <c r="Q50" i="14" s="1"/>
  <c r="E51" i="14"/>
  <c r="I50" i="14"/>
  <c r="J50" i="14" s="1"/>
  <c r="U50" i="14"/>
  <c r="R49" i="14"/>
  <c r="L47" i="13"/>
  <c r="K48" i="13"/>
  <c r="H50" i="13"/>
  <c r="G50" i="13"/>
  <c r="V50" i="13"/>
  <c r="F50" i="13"/>
  <c r="Q50" i="13" s="1"/>
  <c r="E51" i="13"/>
  <c r="I50" i="13"/>
  <c r="J50" i="13" s="1"/>
  <c r="U50" i="13"/>
  <c r="T48" i="13"/>
  <c r="S48" i="13"/>
  <c r="R49" i="13"/>
  <c r="T48" i="12"/>
  <c r="S48" i="12"/>
  <c r="H50" i="12"/>
  <c r="G50" i="12"/>
  <c r="V50" i="12"/>
  <c r="F50" i="12"/>
  <c r="Q50" i="12" s="1"/>
  <c r="R50" i="12" s="1"/>
  <c r="E51" i="12"/>
  <c r="I50" i="12"/>
  <c r="J50" i="12" s="1"/>
  <c r="U50" i="12"/>
  <c r="R49" i="12"/>
  <c r="L47" i="12"/>
  <c r="K48" i="12"/>
  <c r="J48" i="11"/>
  <c r="K48" i="11" s="1"/>
  <c r="R49" i="11"/>
  <c r="L47" i="11"/>
  <c r="E51" i="11"/>
  <c r="F50" i="11"/>
  <c r="Q50" i="11" s="1"/>
  <c r="T48" i="11"/>
  <c r="S48" i="11"/>
  <c r="U48" i="11" s="1"/>
  <c r="G49" i="11"/>
  <c r="H49" i="11" s="1"/>
  <c r="I49" i="11" s="1"/>
  <c r="T49" i="10"/>
  <c r="V49" i="10" s="1"/>
  <c r="U49" i="10"/>
  <c r="W49" i="10" s="1"/>
  <c r="L46" i="10"/>
  <c r="U48" i="10"/>
  <c r="T48" i="10"/>
  <c r="V48" i="10" s="1"/>
  <c r="E51" i="10"/>
  <c r="F50" i="10"/>
  <c r="R50" i="10" s="1"/>
  <c r="G49" i="10"/>
  <c r="H49" i="10" s="1"/>
  <c r="J47" i="10"/>
  <c r="K47" i="10" s="1"/>
  <c r="I48" i="10"/>
  <c r="W46" i="9"/>
  <c r="W47" i="9"/>
  <c r="L46" i="9"/>
  <c r="J47" i="9"/>
  <c r="K47" i="9" s="1"/>
  <c r="E50" i="9"/>
  <c r="F49" i="9"/>
  <c r="R49" i="9" s="1"/>
  <c r="S48" i="9"/>
  <c r="G48" i="9"/>
  <c r="H48" i="9" s="1"/>
  <c r="I48" i="9" s="1"/>
  <c r="J47" i="8"/>
  <c r="G48" i="8"/>
  <c r="H48" i="8" s="1"/>
  <c r="I48" i="8" s="1"/>
  <c r="S48" i="8"/>
  <c r="K47" i="8"/>
  <c r="L46" i="8"/>
  <c r="E50" i="8"/>
  <c r="F49" i="8"/>
  <c r="R49" i="8" s="1"/>
  <c r="W47" i="8"/>
  <c r="W46" i="7"/>
  <c r="S48" i="7"/>
  <c r="G48" i="7"/>
  <c r="H48" i="7" s="1"/>
  <c r="I48" i="7" s="1"/>
  <c r="E50" i="7"/>
  <c r="F49" i="7"/>
  <c r="R49" i="7" s="1"/>
  <c r="K47" i="7"/>
  <c r="L46" i="7"/>
  <c r="W47" i="7"/>
  <c r="W43" i="3"/>
  <c r="U45" i="3"/>
  <c r="T45" i="3"/>
  <c r="V45" i="3" s="1"/>
  <c r="W44" i="3"/>
  <c r="G46" i="3"/>
  <c r="H46" i="3" s="1"/>
  <c r="I46" i="3" s="1"/>
  <c r="J46" i="3" s="1"/>
  <c r="K46" i="3" s="1"/>
  <c r="L46" i="3" s="1"/>
  <c r="R46" i="3"/>
  <c r="S46" i="3" s="1"/>
  <c r="E48" i="3"/>
  <c r="F47" i="3"/>
  <c r="K49" i="15" l="1"/>
  <c r="L48" i="15"/>
  <c r="G51" i="15"/>
  <c r="V51" i="15"/>
  <c r="F51" i="15"/>
  <c r="Q51" i="15" s="1"/>
  <c r="E52" i="15"/>
  <c r="U51" i="15"/>
  <c r="I51" i="15"/>
  <c r="J51" i="15" s="1"/>
  <c r="H51" i="15"/>
  <c r="S49" i="15"/>
  <c r="T49" i="15"/>
  <c r="R50" i="15"/>
  <c r="H51" i="14"/>
  <c r="G51" i="14"/>
  <c r="V51" i="14"/>
  <c r="F51" i="14"/>
  <c r="Q51" i="14" s="1"/>
  <c r="U51" i="14"/>
  <c r="E52" i="14"/>
  <c r="I51" i="14"/>
  <c r="J51" i="14" s="1"/>
  <c r="L48" i="14"/>
  <c r="K49" i="14"/>
  <c r="T49" i="14"/>
  <c r="S49" i="14"/>
  <c r="R50" i="14"/>
  <c r="H51" i="13"/>
  <c r="G51" i="13"/>
  <c r="V51" i="13"/>
  <c r="F51" i="13"/>
  <c r="Q51" i="13" s="1"/>
  <c r="R51" i="13" s="1"/>
  <c r="E52" i="13"/>
  <c r="I51" i="13"/>
  <c r="J51" i="13" s="1"/>
  <c r="U51" i="13"/>
  <c r="R50" i="13"/>
  <c r="L48" i="13"/>
  <c r="K49" i="13"/>
  <c r="T49" i="13"/>
  <c r="S49" i="13"/>
  <c r="T50" i="12"/>
  <c r="S50" i="12"/>
  <c r="L48" i="12"/>
  <c r="K49" i="12"/>
  <c r="T49" i="12"/>
  <c r="S49" i="12"/>
  <c r="H51" i="12"/>
  <c r="G51" i="12"/>
  <c r="V51" i="12"/>
  <c r="F51" i="12"/>
  <c r="Q51" i="12" s="1"/>
  <c r="U51" i="12"/>
  <c r="E52" i="12"/>
  <c r="I51" i="12"/>
  <c r="J51" i="12" s="1"/>
  <c r="V48" i="11"/>
  <c r="J49" i="11"/>
  <c r="G50" i="11"/>
  <c r="H50" i="11" s="1"/>
  <c r="I50" i="11" s="1"/>
  <c r="K49" i="11"/>
  <c r="L48" i="11"/>
  <c r="R50" i="11"/>
  <c r="S49" i="11"/>
  <c r="U49" i="11" s="1"/>
  <c r="T49" i="11"/>
  <c r="V49" i="11" s="1"/>
  <c r="E52" i="11"/>
  <c r="F51" i="11"/>
  <c r="Q51" i="11" s="1"/>
  <c r="L47" i="10"/>
  <c r="S50" i="10"/>
  <c r="J48" i="10"/>
  <c r="K48" i="10" s="1"/>
  <c r="I49" i="10"/>
  <c r="E52" i="10"/>
  <c r="F51" i="10"/>
  <c r="R51" i="10" s="1"/>
  <c r="G50" i="10"/>
  <c r="H50" i="10" s="1"/>
  <c r="W48" i="10"/>
  <c r="J48" i="9"/>
  <c r="K48" i="9" s="1"/>
  <c r="L47" i="9"/>
  <c r="S49" i="9"/>
  <c r="E51" i="9"/>
  <c r="F50" i="9"/>
  <c r="R50" i="9" s="1"/>
  <c r="G49" i="9"/>
  <c r="H49" i="9" s="1"/>
  <c r="I49" i="9" s="1"/>
  <c r="U48" i="9"/>
  <c r="T48" i="9"/>
  <c r="V48" i="9" s="1"/>
  <c r="J48" i="8"/>
  <c r="K48" i="8" s="1"/>
  <c r="G49" i="8"/>
  <c r="H49" i="8" s="1"/>
  <c r="I49" i="8" s="1"/>
  <c r="E51" i="8"/>
  <c r="F50" i="8"/>
  <c r="R50" i="8" s="1"/>
  <c r="L47" i="8"/>
  <c r="S49" i="8"/>
  <c r="U48" i="8"/>
  <c r="T48" i="8"/>
  <c r="V48" i="8" s="1"/>
  <c r="J48" i="7"/>
  <c r="E51" i="7"/>
  <c r="F50" i="7"/>
  <c r="R50" i="7" s="1"/>
  <c r="U48" i="7"/>
  <c r="T48" i="7"/>
  <c r="V48" i="7" s="1"/>
  <c r="G49" i="7"/>
  <c r="H49" i="7" s="1"/>
  <c r="I49" i="7" s="1"/>
  <c r="K48" i="7"/>
  <c r="L47" i="7"/>
  <c r="S49" i="7"/>
  <c r="W45" i="3"/>
  <c r="T46" i="3"/>
  <c r="V46" i="3" s="1"/>
  <c r="U46" i="3"/>
  <c r="W46" i="3" s="1"/>
  <c r="G47" i="3"/>
  <c r="H47" i="3" s="1"/>
  <c r="I47" i="3" s="1"/>
  <c r="J47" i="3" s="1"/>
  <c r="K47" i="3" s="1"/>
  <c r="L47" i="3" s="1"/>
  <c r="R47" i="3"/>
  <c r="E49" i="3"/>
  <c r="F48" i="3"/>
  <c r="W48" i="8" l="1"/>
  <c r="S50" i="15"/>
  <c r="T50" i="15"/>
  <c r="R51" i="15"/>
  <c r="K50" i="15"/>
  <c r="L49" i="15"/>
  <c r="G52" i="15"/>
  <c r="V52" i="15"/>
  <c r="F52" i="15"/>
  <c r="Q52" i="15" s="1"/>
  <c r="E53" i="15"/>
  <c r="U52" i="15"/>
  <c r="I52" i="15"/>
  <c r="J52" i="15" s="1"/>
  <c r="H52" i="15"/>
  <c r="T50" i="14"/>
  <c r="S50" i="14"/>
  <c r="R51" i="14"/>
  <c r="L49" i="14"/>
  <c r="K50" i="14"/>
  <c r="H52" i="14"/>
  <c r="G52" i="14"/>
  <c r="V52" i="14"/>
  <c r="F52" i="14"/>
  <c r="Q52" i="14" s="1"/>
  <c r="E53" i="14"/>
  <c r="I52" i="14"/>
  <c r="J52" i="14" s="1"/>
  <c r="U52" i="14"/>
  <c r="L49" i="13"/>
  <c r="K50" i="13"/>
  <c r="T50" i="13"/>
  <c r="S50" i="13"/>
  <c r="H52" i="13"/>
  <c r="G52" i="13"/>
  <c r="V52" i="13"/>
  <c r="F52" i="13"/>
  <c r="Q52" i="13" s="1"/>
  <c r="R52" i="13" s="1"/>
  <c r="U52" i="13"/>
  <c r="E53" i="13"/>
  <c r="I52" i="13"/>
  <c r="J52" i="13" s="1"/>
  <c r="T51" i="13"/>
  <c r="S51" i="13"/>
  <c r="H52" i="12"/>
  <c r="G52" i="12"/>
  <c r="V52" i="12"/>
  <c r="F52" i="12"/>
  <c r="Q52" i="12" s="1"/>
  <c r="E53" i="12"/>
  <c r="I52" i="12"/>
  <c r="J52" i="12" s="1"/>
  <c r="U52" i="12"/>
  <c r="L49" i="12"/>
  <c r="K50" i="12"/>
  <c r="R51" i="12"/>
  <c r="J50" i="11"/>
  <c r="K50" i="11" s="1"/>
  <c r="L49" i="11"/>
  <c r="R51" i="11"/>
  <c r="G51" i="11"/>
  <c r="H51" i="11" s="1"/>
  <c r="I51" i="11" s="1"/>
  <c r="T50" i="11"/>
  <c r="S50" i="11"/>
  <c r="U50" i="11" s="1"/>
  <c r="E53" i="11"/>
  <c r="F52" i="11"/>
  <c r="Q52" i="11" s="1"/>
  <c r="R52" i="11" s="1"/>
  <c r="L48" i="10"/>
  <c r="S51" i="10"/>
  <c r="G51" i="10"/>
  <c r="H51" i="10" s="1"/>
  <c r="E53" i="10"/>
  <c r="F52" i="10"/>
  <c r="R52" i="10" s="1"/>
  <c r="J49" i="10"/>
  <c r="K49" i="10" s="1"/>
  <c r="I50" i="10"/>
  <c r="U50" i="10"/>
  <c r="T50" i="10"/>
  <c r="V50" i="10" s="1"/>
  <c r="L48" i="9"/>
  <c r="J49" i="9"/>
  <c r="K49" i="9" s="1"/>
  <c r="G50" i="9"/>
  <c r="H50" i="9" s="1"/>
  <c r="I50" i="9" s="1"/>
  <c r="U49" i="9"/>
  <c r="T49" i="9"/>
  <c r="V49" i="9" s="1"/>
  <c r="W48" i="9"/>
  <c r="E52" i="9"/>
  <c r="F51" i="9"/>
  <c r="R51" i="9" s="1"/>
  <c r="S50" i="9"/>
  <c r="J49" i="8"/>
  <c r="U49" i="8"/>
  <c r="W49" i="8" s="1"/>
  <c r="T49" i="8"/>
  <c r="V49" i="8" s="1"/>
  <c r="G50" i="8"/>
  <c r="H50" i="8" s="1"/>
  <c r="I50" i="8" s="1"/>
  <c r="S50" i="8"/>
  <c r="K49" i="8"/>
  <c r="L48" i="8"/>
  <c r="E52" i="8"/>
  <c r="F51" i="8"/>
  <c r="R51" i="8" s="1"/>
  <c r="J49" i="7"/>
  <c r="K49" i="7" s="1"/>
  <c r="S50" i="7"/>
  <c r="W48" i="7"/>
  <c r="E52" i="7"/>
  <c r="F51" i="7"/>
  <c r="R51" i="7" s="1"/>
  <c r="T49" i="7"/>
  <c r="V49" i="7" s="1"/>
  <c r="U49" i="7"/>
  <c r="L48" i="7"/>
  <c r="G50" i="7"/>
  <c r="H50" i="7" s="1"/>
  <c r="I50" i="7" s="1"/>
  <c r="S47" i="3"/>
  <c r="G48" i="3"/>
  <c r="H48" i="3" s="1"/>
  <c r="I48" i="3" s="1"/>
  <c r="J48" i="3" s="1"/>
  <c r="K48" i="3" s="1"/>
  <c r="L48" i="3" s="1"/>
  <c r="R48" i="3"/>
  <c r="S48" i="3" s="1"/>
  <c r="E50" i="3"/>
  <c r="F49" i="3"/>
  <c r="K51" i="15" l="1"/>
  <c r="L50" i="15"/>
  <c r="G53" i="15"/>
  <c r="V53" i="15"/>
  <c r="H53" i="15"/>
  <c r="U53" i="15"/>
  <c r="F53" i="15"/>
  <c r="Q53" i="15" s="1"/>
  <c r="R53" i="15" s="1"/>
  <c r="I53" i="15"/>
  <c r="J53" i="15" s="1"/>
  <c r="E54" i="15"/>
  <c r="S51" i="15"/>
  <c r="T51" i="15"/>
  <c r="R52" i="15"/>
  <c r="T51" i="14"/>
  <c r="S51" i="14"/>
  <c r="L50" i="14"/>
  <c r="K51" i="14"/>
  <c r="R52" i="14"/>
  <c r="V53" i="14"/>
  <c r="F53" i="14"/>
  <c r="Q53" i="14" s="1"/>
  <c r="E54" i="14"/>
  <c r="I53" i="14"/>
  <c r="J53" i="14" s="1"/>
  <c r="H53" i="14"/>
  <c r="G53" i="14"/>
  <c r="U53" i="14"/>
  <c r="T52" i="13"/>
  <c r="S52" i="13"/>
  <c r="V53" i="13"/>
  <c r="F53" i="13"/>
  <c r="Q53" i="13" s="1"/>
  <c r="R53" i="13" s="1"/>
  <c r="E54" i="13"/>
  <c r="I53" i="13"/>
  <c r="J53" i="13" s="1"/>
  <c r="H53" i="13"/>
  <c r="G53" i="13"/>
  <c r="U53" i="13"/>
  <c r="L50" i="13"/>
  <c r="K51" i="13"/>
  <c r="L50" i="12"/>
  <c r="K51" i="12"/>
  <c r="T51" i="12"/>
  <c r="S51" i="12"/>
  <c r="R52" i="12"/>
  <c r="G53" i="12"/>
  <c r="V53" i="12"/>
  <c r="E54" i="12"/>
  <c r="I53" i="12"/>
  <c r="J53" i="12" s="1"/>
  <c r="H53" i="12"/>
  <c r="U53" i="12"/>
  <c r="F53" i="12"/>
  <c r="Q53" i="12" s="1"/>
  <c r="T52" i="11"/>
  <c r="S52" i="11"/>
  <c r="U52" i="11" s="1"/>
  <c r="J51" i="11"/>
  <c r="E54" i="11"/>
  <c r="F53" i="11"/>
  <c r="Q53" i="11" s="1"/>
  <c r="T51" i="11"/>
  <c r="S51" i="11"/>
  <c r="U51" i="11" s="1"/>
  <c r="G52" i="11"/>
  <c r="H52" i="11" s="1"/>
  <c r="I52" i="11" s="1"/>
  <c r="V50" i="11"/>
  <c r="K51" i="11"/>
  <c r="L50" i="11"/>
  <c r="W50" i="10"/>
  <c r="L49" i="10"/>
  <c r="J50" i="10"/>
  <c r="K50" i="10" s="1"/>
  <c r="I51" i="10"/>
  <c r="E54" i="10"/>
  <c r="F53" i="10"/>
  <c r="R53" i="10" s="1"/>
  <c r="G52" i="10"/>
  <c r="H52" i="10" s="1"/>
  <c r="S52" i="10"/>
  <c r="U51" i="10"/>
  <c r="T51" i="10"/>
  <c r="V51" i="10" s="1"/>
  <c r="J50" i="9"/>
  <c r="K50" i="9" s="1"/>
  <c r="L49" i="9"/>
  <c r="E53" i="9"/>
  <c r="F52" i="9"/>
  <c r="R52" i="9" s="1"/>
  <c r="S51" i="9"/>
  <c r="G51" i="9"/>
  <c r="H51" i="9" s="1"/>
  <c r="I51" i="9" s="1"/>
  <c r="W49" i="9"/>
  <c r="T50" i="9"/>
  <c r="V50" i="9" s="1"/>
  <c r="U50" i="9"/>
  <c r="J50" i="8"/>
  <c r="K50" i="8" s="1"/>
  <c r="E53" i="8"/>
  <c r="F52" i="8"/>
  <c r="R52" i="8" s="1"/>
  <c r="S52" i="8" s="1"/>
  <c r="G51" i="8"/>
  <c r="H51" i="8" s="1"/>
  <c r="I51" i="8" s="1"/>
  <c r="L49" i="8"/>
  <c r="T50" i="8"/>
  <c r="V50" i="8" s="1"/>
  <c r="U50" i="8"/>
  <c r="S51" i="8"/>
  <c r="W49" i="7"/>
  <c r="J50" i="7"/>
  <c r="K50" i="7" s="1"/>
  <c r="S51" i="7"/>
  <c r="L49" i="7"/>
  <c r="G51" i="7"/>
  <c r="H51" i="7" s="1"/>
  <c r="I51" i="7" s="1"/>
  <c r="E53" i="7"/>
  <c r="F52" i="7"/>
  <c r="R52" i="7" s="1"/>
  <c r="U50" i="7"/>
  <c r="T50" i="7"/>
  <c r="V50" i="7" s="1"/>
  <c r="U48" i="3"/>
  <c r="T48" i="3"/>
  <c r="V48" i="3" s="1"/>
  <c r="T47" i="3"/>
  <c r="V47" i="3" s="1"/>
  <c r="U47" i="3"/>
  <c r="G49" i="3"/>
  <c r="H49" i="3" s="1"/>
  <c r="I49" i="3" s="1"/>
  <c r="J49" i="3" s="1"/>
  <c r="K49" i="3" s="1"/>
  <c r="L49" i="3" s="1"/>
  <c r="R49" i="3"/>
  <c r="S49" i="3" s="1"/>
  <c r="E51" i="3"/>
  <c r="F50" i="3"/>
  <c r="S53" i="15" l="1"/>
  <c r="T53" i="15"/>
  <c r="G54" i="15"/>
  <c r="V54" i="15"/>
  <c r="F54" i="15"/>
  <c r="Q54" i="15" s="1"/>
  <c r="R54" i="15" s="1"/>
  <c r="E55" i="15"/>
  <c r="I54" i="15"/>
  <c r="J54" i="15" s="1"/>
  <c r="H54" i="15"/>
  <c r="U54" i="15"/>
  <c r="S52" i="15"/>
  <c r="T52" i="15"/>
  <c r="K52" i="15"/>
  <c r="L51" i="15"/>
  <c r="T52" i="14"/>
  <c r="S52" i="14"/>
  <c r="V54" i="14"/>
  <c r="F54" i="14"/>
  <c r="Q54" i="14" s="1"/>
  <c r="U54" i="14"/>
  <c r="E55" i="14"/>
  <c r="I54" i="14"/>
  <c r="J54" i="14" s="1"/>
  <c r="H54" i="14"/>
  <c r="G54" i="14"/>
  <c r="L51" i="14"/>
  <c r="K52" i="14"/>
  <c r="R53" i="14"/>
  <c r="L51" i="13"/>
  <c r="K52" i="13"/>
  <c r="V54" i="13"/>
  <c r="F54" i="13"/>
  <c r="Q54" i="13" s="1"/>
  <c r="R54" i="13" s="1"/>
  <c r="U54" i="13"/>
  <c r="E55" i="13"/>
  <c r="I54" i="13"/>
  <c r="J54" i="13" s="1"/>
  <c r="H54" i="13"/>
  <c r="G54" i="13"/>
  <c r="T53" i="13"/>
  <c r="S53" i="13"/>
  <c r="T52" i="12"/>
  <c r="S52" i="12"/>
  <c r="L51" i="12"/>
  <c r="K52" i="12"/>
  <c r="G54" i="12"/>
  <c r="V54" i="12"/>
  <c r="F54" i="12"/>
  <c r="Q54" i="12" s="1"/>
  <c r="R54" i="12" s="1"/>
  <c r="E55" i="12"/>
  <c r="I54" i="12"/>
  <c r="J54" i="12" s="1"/>
  <c r="U54" i="12"/>
  <c r="H54" i="12"/>
  <c r="R53" i="12"/>
  <c r="J52" i="11"/>
  <c r="K52" i="11" s="1"/>
  <c r="V51" i="11"/>
  <c r="E55" i="11"/>
  <c r="F54" i="11"/>
  <c r="Q54" i="11" s="1"/>
  <c r="G53" i="11"/>
  <c r="H53" i="11" s="1"/>
  <c r="I53" i="11" s="1"/>
  <c r="L51" i="11"/>
  <c r="R53" i="11"/>
  <c r="V52" i="11"/>
  <c r="L50" i="10"/>
  <c r="U52" i="10"/>
  <c r="T52" i="10"/>
  <c r="V52" i="10" s="1"/>
  <c r="E55" i="10"/>
  <c r="F54" i="10"/>
  <c r="R54" i="10" s="1"/>
  <c r="W51" i="10"/>
  <c r="S53" i="10"/>
  <c r="G53" i="10"/>
  <c r="H53" i="10" s="1"/>
  <c r="J51" i="10"/>
  <c r="K51" i="10" s="1"/>
  <c r="I52" i="10"/>
  <c r="G52" i="9"/>
  <c r="H52" i="9" s="1"/>
  <c r="I52" i="9" s="1"/>
  <c r="J52" i="9" s="1"/>
  <c r="J51" i="9"/>
  <c r="K51" i="9" s="1"/>
  <c r="U51" i="9"/>
  <c r="T51" i="9"/>
  <c r="V51" i="9" s="1"/>
  <c r="E54" i="9"/>
  <c r="F53" i="9"/>
  <c r="R53" i="9" s="1"/>
  <c r="L50" i="9"/>
  <c r="S52" i="9"/>
  <c r="W50" i="9"/>
  <c r="J51" i="8"/>
  <c r="U52" i="8"/>
  <c r="W52" i="8" s="1"/>
  <c r="T52" i="8"/>
  <c r="V52" i="8" s="1"/>
  <c r="W50" i="8"/>
  <c r="K51" i="8"/>
  <c r="L50" i="8"/>
  <c r="U51" i="8"/>
  <c r="T51" i="8"/>
  <c r="V51" i="8" s="1"/>
  <c r="G52" i="8"/>
  <c r="H52" i="8" s="1"/>
  <c r="I52" i="8" s="1"/>
  <c r="E54" i="8"/>
  <c r="F53" i="8"/>
  <c r="R53" i="8" s="1"/>
  <c r="J51" i="7"/>
  <c r="U51" i="7"/>
  <c r="T51" i="7"/>
  <c r="V51" i="7" s="1"/>
  <c r="S52" i="7"/>
  <c r="E54" i="7"/>
  <c r="F53" i="7"/>
  <c r="R53" i="7" s="1"/>
  <c r="W50" i="7"/>
  <c r="G52" i="7"/>
  <c r="H52" i="7" s="1"/>
  <c r="I52" i="7" s="1"/>
  <c r="K51" i="7"/>
  <c r="L50" i="7"/>
  <c r="W47" i="3"/>
  <c r="U49" i="3"/>
  <c r="T49" i="3"/>
  <c r="V49" i="3" s="1"/>
  <c r="W48" i="3"/>
  <c r="G50" i="3"/>
  <c r="H50" i="3" s="1"/>
  <c r="I50" i="3" s="1"/>
  <c r="J50" i="3" s="1"/>
  <c r="K50" i="3" s="1"/>
  <c r="L50" i="3" s="1"/>
  <c r="R50" i="3"/>
  <c r="S50" i="3" s="1"/>
  <c r="E52" i="3"/>
  <c r="F51" i="3"/>
  <c r="S53" i="9" l="1"/>
  <c r="T53" i="9" s="1"/>
  <c r="V53" i="9" s="1"/>
  <c r="K53" i="15"/>
  <c r="L52" i="15"/>
  <c r="G55" i="15"/>
  <c r="V55" i="15"/>
  <c r="F55" i="15"/>
  <c r="Q55" i="15" s="1"/>
  <c r="H55" i="15"/>
  <c r="U55" i="15"/>
  <c r="I55" i="15"/>
  <c r="J55" i="15" s="1"/>
  <c r="E56" i="15"/>
  <c r="S54" i="15"/>
  <c r="T54" i="15"/>
  <c r="T53" i="14"/>
  <c r="S53" i="14"/>
  <c r="V55" i="14"/>
  <c r="F55" i="14"/>
  <c r="Q55" i="14" s="1"/>
  <c r="G55" i="14"/>
  <c r="U55" i="14"/>
  <c r="E56" i="14"/>
  <c r="I55" i="14"/>
  <c r="J55" i="14" s="1"/>
  <c r="H55" i="14"/>
  <c r="L52" i="14"/>
  <c r="K53" i="14"/>
  <c r="R54" i="14"/>
  <c r="T54" i="13"/>
  <c r="S54" i="13"/>
  <c r="V55" i="13"/>
  <c r="F55" i="13"/>
  <c r="Q55" i="13" s="1"/>
  <c r="R55" i="13" s="1"/>
  <c r="E56" i="13"/>
  <c r="U55" i="13"/>
  <c r="G55" i="13"/>
  <c r="I55" i="13"/>
  <c r="J55" i="13" s="1"/>
  <c r="H55" i="13"/>
  <c r="L52" i="13"/>
  <c r="K53" i="13"/>
  <c r="T54" i="12"/>
  <c r="S54" i="12"/>
  <c r="S53" i="12"/>
  <c r="T53" i="12"/>
  <c r="K53" i="12"/>
  <c r="L52" i="12"/>
  <c r="H55" i="12"/>
  <c r="G55" i="12"/>
  <c r="V55" i="12"/>
  <c r="F55" i="12"/>
  <c r="Q55" i="12" s="1"/>
  <c r="E56" i="12"/>
  <c r="I55" i="12"/>
  <c r="J55" i="12" s="1"/>
  <c r="U55" i="12"/>
  <c r="J53" i="11"/>
  <c r="S53" i="11"/>
  <c r="U53" i="11" s="1"/>
  <c r="T53" i="11"/>
  <c r="F55" i="11"/>
  <c r="Q55" i="11" s="1"/>
  <c r="R55" i="11" s="1"/>
  <c r="E56" i="11"/>
  <c r="G54" i="11"/>
  <c r="H54" i="11" s="1"/>
  <c r="I54" i="11" s="1"/>
  <c r="R54" i="11"/>
  <c r="K53" i="11"/>
  <c r="L52" i="11"/>
  <c r="L51" i="10"/>
  <c r="T53" i="10"/>
  <c r="V53" i="10" s="1"/>
  <c r="U53" i="10"/>
  <c r="W53" i="10" s="1"/>
  <c r="F55" i="10"/>
  <c r="R55" i="10" s="1"/>
  <c r="S55" i="10" s="1"/>
  <c r="E56" i="10"/>
  <c r="J52" i="10"/>
  <c r="K52" i="10" s="1"/>
  <c r="I53" i="10"/>
  <c r="G54" i="10"/>
  <c r="H54" i="10" s="1"/>
  <c r="S54" i="10"/>
  <c r="W52" i="10"/>
  <c r="U53" i="9"/>
  <c r="W51" i="9"/>
  <c r="U52" i="9"/>
  <c r="T52" i="9"/>
  <c r="V52" i="9" s="1"/>
  <c r="L51" i="9"/>
  <c r="K52" i="9"/>
  <c r="E55" i="9"/>
  <c r="F54" i="9"/>
  <c r="R54" i="9" s="1"/>
  <c r="G53" i="9"/>
  <c r="H53" i="9" s="1"/>
  <c r="I53" i="9" s="1"/>
  <c r="J53" i="9" s="1"/>
  <c r="W51" i="8"/>
  <c r="J52" i="8"/>
  <c r="K52" i="8" s="1"/>
  <c r="E55" i="8"/>
  <c r="F54" i="8"/>
  <c r="R54" i="8" s="1"/>
  <c r="G53" i="8"/>
  <c r="H53" i="8" s="1"/>
  <c r="I53" i="8" s="1"/>
  <c r="L51" i="8"/>
  <c r="S53" i="8"/>
  <c r="W51" i="7"/>
  <c r="J52" i="7"/>
  <c r="E55" i="7"/>
  <c r="F54" i="7"/>
  <c r="R54" i="7" s="1"/>
  <c r="G53" i="7"/>
  <c r="H53" i="7" s="1"/>
  <c r="I53" i="7" s="1"/>
  <c r="U52" i="7"/>
  <c r="T52" i="7"/>
  <c r="V52" i="7" s="1"/>
  <c r="K52" i="7"/>
  <c r="L51" i="7"/>
  <c r="S53" i="7"/>
  <c r="T50" i="3"/>
  <c r="V50" i="3" s="1"/>
  <c r="U50" i="3"/>
  <c r="W49" i="3"/>
  <c r="G51" i="3"/>
  <c r="H51" i="3" s="1"/>
  <c r="I51" i="3" s="1"/>
  <c r="J51" i="3" s="1"/>
  <c r="K51" i="3" s="1"/>
  <c r="L51" i="3" s="1"/>
  <c r="R51" i="3"/>
  <c r="E53" i="3"/>
  <c r="F52" i="3"/>
  <c r="R55" i="15" l="1"/>
  <c r="G56" i="15"/>
  <c r="V56" i="15"/>
  <c r="F56" i="15"/>
  <c r="Q56" i="15" s="1"/>
  <c r="E57" i="15"/>
  <c r="I56" i="15"/>
  <c r="J56" i="15" s="1"/>
  <c r="H56" i="15"/>
  <c r="U56" i="15"/>
  <c r="K54" i="15"/>
  <c r="L53" i="15"/>
  <c r="T54" i="14"/>
  <c r="S54" i="14"/>
  <c r="R55" i="14"/>
  <c r="K54" i="14"/>
  <c r="L53" i="14"/>
  <c r="V56" i="14"/>
  <c r="F56" i="14"/>
  <c r="Q56" i="14" s="1"/>
  <c r="H56" i="14"/>
  <c r="U56" i="14"/>
  <c r="G56" i="14"/>
  <c r="E57" i="14"/>
  <c r="I56" i="14"/>
  <c r="J56" i="14" s="1"/>
  <c r="T55" i="13"/>
  <c r="S55" i="13"/>
  <c r="H56" i="13"/>
  <c r="V56" i="13"/>
  <c r="F56" i="13"/>
  <c r="Q56" i="13" s="1"/>
  <c r="E57" i="13"/>
  <c r="U56" i="13"/>
  <c r="I56" i="13"/>
  <c r="J56" i="13" s="1"/>
  <c r="G56" i="13"/>
  <c r="K54" i="13"/>
  <c r="L53" i="13"/>
  <c r="K54" i="12"/>
  <c r="L53" i="12"/>
  <c r="H56" i="12"/>
  <c r="G56" i="12"/>
  <c r="V56" i="12"/>
  <c r="F56" i="12"/>
  <c r="Q56" i="12" s="1"/>
  <c r="E57" i="12"/>
  <c r="I56" i="12"/>
  <c r="J56" i="12" s="1"/>
  <c r="U56" i="12"/>
  <c r="R55" i="12"/>
  <c r="V53" i="11"/>
  <c r="T55" i="11"/>
  <c r="V55" i="11" s="1"/>
  <c r="S55" i="11"/>
  <c r="U55" i="11" s="1"/>
  <c r="J54" i="11"/>
  <c r="K54" i="11" s="1"/>
  <c r="L53" i="11"/>
  <c r="T54" i="11"/>
  <c r="S54" i="11"/>
  <c r="U54" i="11" s="1"/>
  <c r="G55" i="11"/>
  <c r="H55" i="11" s="1"/>
  <c r="I55" i="11" s="1"/>
  <c r="E57" i="11"/>
  <c r="F56" i="11"/>
  <c r="Q56" i="11" s="1"/>
  <c r="L52" i="10"/>
  <c r="U55" i="10"/>
  <c r="T55" i="10"/>
  <c r="V55" i="10" s="1"/>
  <c r="U54" i="10"/>
  <c r="T54" i="10"/>
  <c r="V54" i="10" s="1"/>
  <c r="G55" i="10"/>
  <c r="H55" i="10" s="1"/>
  <c r="E57" i="10"/>
  <c r="F56" i="10"/>
  <c r="R56" i="10" s="1"/>
  <c r="J53" i="10"/>
  <c r="K53" i="10" s="1"/>
  <c r="I54" i="10"/>
  <c r="W52" i="9"/>
  <c r="G54" i="9"/>
  <c r="H54" i="9" s="1"/>
  <c r="I54" i="9" s="1"/>
  <c r="K53" i="9"/>
  <c r="L52" i="9"/>
  <c r="S54" i="9"/>
  <c r="E56" i="9"/>
  <c r="F55" i="9"/>
  <c r="R55" i="9" s="1"/>
  <c r="S55" i="9" s="1"/>
  <c r="W53" i="9"/>
  <c r="J53" i="8"/>
  <c r="U53" i="8"/>
  <c r="T53" i="8"/>
  <c r="V53" i="8" s="1"/>
  <c r="G54" i="8"/>
  <c r="H54" i="8" s="1"/>
  <c r="I54" i="8" s="1"/>
  <c r="S54" i="8"/>
  <c r="K53" i="8"/>
  <c r="L52" i="8"/>
  <c r="E56" i="8"/>
  <c r="F55" i="8"/>
  <c r="R55" i="8" s="1"/>
  <c r="J53" i="7"/>
  <c r="W52" i="7"/>
  <c r="K53" i="7"/>
  <c r="L52" i="7"/>
  <c r="F55" i="7"/>
  <c r="R55" i="7" s="1"/>
  <c r="E56" i="7"/>
  <c r="T53" i="7"/>
  <c r="V53" i="7" s="1"/>
  <c r="U53" i="7"/>
  <c r="S54" i="7"/>
  <c r="G54" i="7"/>
  <c r="H54" i="7" s="1"/>
  <c r="I54" i="7" s="1"/>
  <c r="W50" i="3"/>
  <c r="S51" i="3"/>
  <c r="G52" i="3"/>
  <c r="H52" i="3" s="1"/>
  <c r="I52" i="3" s="1"/>
  <c r="J52" i="3" s="1"/>
  <c r="K52" i="3" s="1"/>
  <c r="L52" i="3" s="1"/>
  <c r="R52" i="3"/>
  <c r="S52" i="3" s="1"/>
  <c r="E54" i="3"/>
  <c r="F53" i="3"/>
  <c r="W53" i="7" l="1"/>
  <c r="S55" i="15"/>
  <c r="T55" i="15"/>
  <c r="K55" i="15"/>
  <c r="L54" i="15"/>
  <c r="G57" i="15"/>
  <c r="V57" i="15"/>
  <c r="F57" i="15"/>
  <c r="Q57" i="15" s="1"/>
  <c r="R57" i="15" s="1"/>
  <c r="H57" i="15"/>
  <c r="U57" i="15"/>
  <c r="E58" i="15"/>
  <c r="I57" i="15"/>
  <c r="J57" i="15" s="1"/>
  <c r="R56" i="15"/>
  <c r="G57" i="14"/>
  <c r="V57" i="14"/>
  <c r="F57" i="14"/>
  <c r="Q57" i="14" s="1"/>
  <c r="E58" i="14"/>
  <c r="I57" i="14"/>
  <c r="J57" i="14" s="1"/>
  <c r="H57" i="14"/>
  <c r="U57" i="14"/>
  <c r="K55" i="14"/>
  <c r="L54" i="14"/>
  <c r="T55" i="14"/>
  <c r="S55" i="14"/>
  <c r="R56" i="14"/>
  <c r="R56" i="13"/>
  <c r="H57" i="13"/>
  <c r="V57" i="13"/>
  <c r="F57" i="13"/>
  <c r="Q57" i="13" s="1"/>
  <c r="R57" i="13" s="1"/>
  <c r="E58" i="13"/>
  <c r="U57" i="13"/>
  <c r="I57" i="13"/>
  <c r="J57" i="13" s="1"/>
  <c r="G57" i="13"/>
  <c r="K55" i="13"/>
  <c r="L54" i="13"/>
  <c r="T55" i="12"/>
  <c r="S55" i="12"/>
  <c r="H57" i="12"/>
  <c r="G57" i="12"/>
  <c r="V57" i="12"/>
  <c r="F57" i="12"/>
  <c r="Q57" i="12" s="1"/>
  <c r="U57" i="12"/>
  <c r="E58" i="12"/>
  <c r="I57" i="12"/>
  <c r="J57" i="12" s="1"/>
  <c r="L54" i="12"/>
  <c r="K55" i="12"/>
  <c r="R56" i="12"/>
  <c r="V54" i="11"/>
  <c r="J55" i="11"/>
  <c r="K55" i="11" s="1"/>
  <c r="E58" i="11"/>
  <c r="F57" i="11"/>
  <c r="Q57" i="11" s="1"/>
  <c r="R56" i="11"/>
  <c r="L54" i="11"/>
  <c r="G56" i="11"/>
  <c r="H56" i="11" s="1"/>
  <c r="I56" i="11" s="1"/>
  <c r="W55" i="10"/>
  <c r="L53" i="10"/>
  <c r="S56" i="10"/>
  <c r="W54" i="10"/>
  <c r="J54" i="10"/>
  <c r="K54" i="10" s="1"/>
  <c r="I55" i="10"/>
  <c r="E58" i="10"/>
  <c r="F57" i="10"/>
  <c r="R57" i="10" s="1"/>
  <c r="G56" i="10"/>
  <c r="H56" i="10" s="1"/>
  <c r="T55" i="9"/>
  <c r="V55" i="9" s="1"/>
  <c r="U55" i="9"/>
  <c r="J54" i="9"/>
  <c r="T54" i="9"/>
  <c r="V54" i="9" s="1"/>
  <c r="U54" i="9"/>
  <c r="W54" i="9" s="1"/>
  <c r="K54" i="9"/>
  <c r="L53" i="9"/>
  <c r="F56" i="9"/>
  <c r="R56" i="9" s="1"/>
  <c r="E57" i="9"/>
  <c r="G55" i="9"/>
  <c r="H55" i="9" s="1"/>
  <c r="I55" i="9" s="1"/>
  <c r="W53" i="8"/>
  <c r="J54" i="8"/>
  <c r="G55" i="8"/>
  <c r="H55" i="8" s="1"/>
  <c r="I55" i="8" s="1"/>
  <c r="S55" i="8"/>
  <c r="T54" i="8"/>
  <c r="V54" i="8" s="1"/>
  <c r="U54" i="8"/>
  <c r="W54" i="8" s="1"/>
  <c r="K54" i="8"/>
  <c r="L53" i="8"/>
  <c r="E57" i="8"/>
  <c r="F56" i="8"/>
  <c r="R56" i="8" s="1"/>
  <c r="J54" i="7"/>
  <c r="K54" i="7" s="1"/>
  <c r="U54" i="7"/>
  <c r="T54" i="7"/>
  <c r="V54" i="7" s="1"/>
  <c r="L53" i="7"/>
  <c r="S55" i="7"/>
  <c r="E57" i="7"/>
  <c r="F56" i="7"/>
  <c r="R56" i="7" s="1"/>
  <c r="S56" i="7" s="1"/>
  <c r="G55" i="7"/>
  <c r="H55" i="7" s="1"/>
  <c r="I55" i="7" s="1"/>
  <c r="U52" i="3"/>
  <c r="T52" i="3"/>
  <c r="V52" i="3" s="1"/>
  <c r="T51" i="3"/>
  <c r="V51" i="3" s="1"/>
  <c r="U51" i="3"/>
  <c r="G53" i="3"/>
  <c r="H53" i="3" s="1"/>
  <c r="I53" i="3" s="1"/>
  <c r="J53" i="3" s="1"/>
  <c r="K53" i="3" s="1"/>
  <c r="L53" i="3" s="1"/>
  <c r="R53" i="3"/>
  <c r="S53" i="3" s="1"/>
  <c r="E55" i="3"/>
  <c r="F54" i="3"/>
  <c r="W55" i="9" l="1"/>
  <c r="S57" i="15"/>
  <c r="T57" i="15"/>
  <c r="S56" i="15"/>
  <c r="T56" i="15"/>
  <c r="K56" i="15"/>
  <c r="L55" i="15"/>
  <c r="G58" i="15"/>
  <c r="V58" i="15"/>
  <c r="F58" i="15"/>
  <c r="Q58" i="15" s="1"/>
  <c r="E59" i="15"/>
  <c r="I58" i="15"/>
  <c r="J58" i="15" s="1"/>
  <c r="H58" i="15"/>
  <c r="U58" i="15"/>
  <c r="K56" i="14"/>
  <c r="L55" i="14"/>
  <c r="S56" i="14"/>
  <c r="T56" i="14"/>
  <c r="R57" i="14"/>
  <c r="G58" i="14"/>
  <c r="V58" i="14"/>
  <c r="F58" i="14"/>
  <c r="Q58" i="14" s="1"/>
  <c r="H58" i="14"/>
  <c r="U58" i="14"/>
  <c r="I58" i="14"/>
  <c r="J58" i="14" s="1"/>
  <c r="E59" i="14"/>
  <c r="T57" i="13"/>
  <c r="S57" i="13"/>
  <c r="T56" i="13"/>
  <c r="S56" i="13"/>
  <c r="K56" i="13"/>
  <c r="L55" i="13"/>
  <c r="H58" i="13"/>
  <c r="V58" i="13"/>
  <c r="F58" i="13"/>
  <c r="Q58" i="13" s="1"/>
  <c r="E59" i="13"/>
  <c r="U58" i="13"/>
  <c r="I58" i="13"/>
  <c r="J58" i="13" s="1"/>
  <c r="G58" i="13"/>
  <c r="T56" i="12"/>
  <c r="S56" i="12"/>
  <c r="H58" i="12"/>
  <c r="G58" i="12"/>
  <c r="V58" i="12"/>
  <c r="F58" i="12"/>
  <c r="Q58" i="12" s="1"/>
  <c r="E59" i="12"/>
  <c r="I58" i="12"/>
  <c r="J58" i="12" s="1"/>
  <c r="U58" i="12"/>
  <c r="L55" i="12"/>
  <c r="K56" i="12"/>
  <c r="R57" i="12"/>
  <c r="J56" i="11"/>
  <c r="K56" i="11" s="1"/>
  <c r="L55" i="11"/>
  <c r="R57" i="11"/>
  <c r="E59" i="11"/>
  <c r="F58" i="11"/>
  <c r="Q58" i="11" s="1"/>
  <c r="T56" i="11"/>
  <c r="S56" i="11"/>
  <c r="U56" i="11" s="1"/>
  <c r="G57" i="11"/>
  <c r="H57" i="11" s="1"/>
  <c r="I57" i="11" s="1"/>
  <c r="L54" i="10"/>
  <c r="U56" i="10"/>
  <c r="T56" i="10"/>
  <c r="V56" i="10" s="1"/>
  <c r="J55" i="10"/>
  <c r="K55" i="10" s="1"/>
  <c r="I56" i="10"/>
  <c r="E59" i="10"/>
  <c r="F58" i="10"/>
  <c r="R58" i="10" s="1"/>
  <c r="G57" i="10"/>
  <c r="H57" i="10" s="1"/>
  <c r="S57" i="10"/>
  <c r="J55" i="9"/>
  <c r="K55" i="9" s="1"/>
  <c r="L54" i="9"/>
  <c r="G56" i="9"/>
  <c r="H56" i="9" s="1"/>
  <c r="I56" i="9" s="1"/>
  <c r="S56" i="9"/>
  <c r="E58" i="9"/>
  <c r="F57" i="9"/>
  <c r="R57" i="9" s="1"/>
  <c r="J55" i="8"/>
  <c r="G56" i="8"/>
  <c r="H56" i="8" s="1"/>
  <c r="I56" i="8" s="1"/>
  <c r="E58" i="8"/>
  <c r="F57" i="8"/>
  <c r="R57" i="8" s="1"/>
  <c r="T55" i="8"/>
  <c r="V55" i="8" s="1"/>
  <c r="U55" i="8"/>
  <c r="K55" i="8"/>
  <c r="L54" i="8"/>
  <c r="S56" i="8"/>
  <c r="W54" i="7"/>
  <c r="U56" i="7"/>
  <c r="T56" i="7"/>
  <c r="V56" i="7" s="1"/>
  <c r="J55" i="7"/>
  <c r="E58" i="7"/>
  <c r="F57" i="7"/>
  <c r="R57" i="7" s="1"/>
  <c r="L54" i="7"/>
  <c r="K55" i="7"/>
  <c r="G56" i="7"/>
  <c r="H56" i="7" s="1"/>
  <c r="I56" i="7" s="1"/>
  <c r="U55" i="7"/>
  <c r="T55" i="7"/>
  <c r="V55" i="7" s="1"/>
  <c r="W51" i="3"/>
  <c r="U53" i="3"/>
  <c r="T53" i="3"/>
  <c r="V53" i="3" s="1"/>
  <c r="W52" i="3"/>
  <c r="G54" i="3"/>
  <c r="H54" i="3" s="1"/>
  <c r="I54" i="3" s="1"/>
  <c r="J54" i="3" s="1"/>
  <c r="K54" i="3" s="1"/>
  <c r="L54" i="3" s="1"/>
  <c r="R54" i="3"/>
  <c r="S54" i="3" s="1"/>
  <c r="E56" i="3"/>
  <c r="F55" i="3"/>
  <c r="W56" i="7" l="1"/>
  <c r="G59" i="15"/>
  <c r="V59" i="15"/>
  <c r="F59" i="15"/>
  <c r="Q59" i="15" s="1"/>
  <c r="R59" i="15" s="1"/>
  <c r="H59" i="15"/>
  <c r="U59" i="15"/>
  <c r="E60" i="15"/>
  <c r="I59" i="15"/>
  <c r="J59" i="15" s="1"/>
  <c r="R58" i="15"/>
  <c r="K57" i="15"/>
  <c r="L56" i="15"/>
  <c r="K57" i="14"/>
  <c r="L56" i="14"/>
  <c r="G59" i="14"/>
  <c r="V59" i="14"/>
  <c r="F59" i="14"/>
  <c r="Q59" i="14" s="1"/>
  <c r="E60" i="14"/>
  <c r="I59" i="14"/>
  <c r="J59" i="14" s="1"/>
  <c r="H59" i="14"/>
  <c r="U59" i="14"/>
  <c r="S57" i="14"/>
  <c r="T57" i="14"/>
  <c r="R58" i="14"/>
  <c r="L56" i="13"/>
  <c r="K57" i="13"/>
  <c r="H59" i="13"/>
  <c r="V59" i="13"/>
  <c r="F59" i="13"/>
  <c r="Q59" i="13" s="1"/>
  <c r="R59" i="13" s="1"/>
  <c r="E60" i="13"/>
  <c r="U59" i="13"/>
  <c r="I59" i="13"/>
  <c r="J59" i="13" s="1"/>
  <c r="G59" i="13"/>
  <c r="R58" i="13"/>
  <c r="T57" i="12"/>
  <c r="S57" i="12"/>
  <c r="L56" i="12"/>
  <c r="K57" i="12"/>
  <c r="H59" i="12"/>
  <c r="G59" i="12"/>
  <c r="V59" i="12"/>
  <c r="F59" i="12"/>
  <c r="Q59" i="12" s="1"/>
  <c r="E60" i="12"/>
  <c r="I59" i="12"/>
  <c r="J59" i="12" s="1"/>
  <c r="U59" i="12"/>
  <c r="R58" i="12"/>
  <c r="J57" i="11"/>
  <c r="G58" i="11"/>
  <c r="H58" i="11" s="1"/>
  <c r="I58" i="11" s="1"/>
  <c r="T57" i="11"/>
  <c r="S57" i="11"/>
  <c r="U57" i="11" s="1"/>
  <c r="R58" i="11"/>
  <c r="V56" i="11"/>
  <c r="E60" i="11"/>
  <c r="F59" i="11"/>
  <c r="Q59" i="11" s="1"/>
  <c r="K57" i="11"/>
  <c r="L56" i="11"/>
  <c r="W56" i="10"/>
  <c r="L55" i="10"/>
  <c r="S58" i="10"/>
  <c r="U57" i="10"/>
  <c r="T57" i="10"/>
  <c r="V57" i="10" s="1"/>
  <c r="E60" i="10"/>
  <c r="F59" i="10"/>
  <c r="R59" i="10" s="1"/>
  <c r="G58" i="10"/>
  <c r="H58" i="10" s="1"/>
  <c r="J56" i="10"/>
  <c r="K56" i="10" s="1"/>
  <c r="I57" i="10"/>
  <c r="J56" i="9"/>
  <c r="K56" i="9" s="1"/>
  <c r="L55" i="9"/>
  <c r="E59" i="9"/>
  <c r="F58" i="9"/>
  <c r="R58" i="9" s="1"/>
  <c r="G57" i="9"/>
  <c r="H57" i="9" s="1"/>
  <c r="I57" i="9" s="1"/>
  <c r="S57" i="9"/>
  <c r="T56" i="9"/>
  <c r="V56" i="9" s="1"/>
  <c r="U56" i="9"/>
  <c r="J56" i="8"/>
  <c r="U56" i="8"/>
  <c r="T56" i="8"/>
  <c r="V56" i="8" s="1"/>
  <c r="K56" i="8"/>
  <c r="L55" i="8"/>
  <c r="E59" i="8"/>
  <c r="F58" i="8"/>
  <c r="R58" i="8" s="1"/>
  <c r="S58" i="8" s="1"/>
  <c r="S57" i="8"/>
  <c r="W55" i="8"/>
  <c r="G57" i="8"/>
  <c r="H57" i="8" s="1"/>
  <c r="I57" i="8" s="1"/>
  <c r="J56" i="7"/>
  <c r="K56" i="7" s="1"/>
  <c r="W55" i="7"/>
  <c r="L55" i="7"/>
  <c r="E59" i="7"/>
  <c r="F58" i="7"/>
  <c r="R58" i="7" s="1"/>
  <c r="S57" i="7"/>
  <c r="G57" i="7"/>
  <c r="H57" i="7" s="1"/>
  <c r="I57" i="7" s="1"/>
  <c r="T54" i="3"/>
  <c r="V54" i="3" s="1"/>
  <c r="U54" i="3"/>
  <c r="W53" i="3"/>
  <c r="G55" i="3"/>
  <c r="H55" i="3" s="1"/>
  <c r="I55" i="3" s="1"/>
  <c r="J55" i="3" s="1"/>
  <c r="K55" i="3" s="1"/>
  <c r="L55" i="3" s="1"/>
  <c r="R55" i="3"/>
  <c r="E57" i="3"/>
  <c r="F56" i="3"/>
  <c r="W57" i="10" l="1"/>
  <c r="S59" i="15"/>
  <c r="T59" i="15"/>
  <c r="S58" i="15"/>
  <c r="T58" i="15"/>
  <c r="G60" i="15"/>
  <c r="V60" i="15"/>
  <c r="F60" i="15"/>
  <c r="Q60" i="15" s="1"/>
  <c r="E61" i="15"/>
  <c r="U60" i="15"/>
  <c r="I60" i="15"/>
  <c r="J60" i="15" s="1"/>
  <c r="H60" i="15"/>
  <c r="K58" i="15"/>
  <c r="L57" i="15"/>
  <c r="S58" i="14"/>
  <c r="T58" i="14"/>
  <c r="R59" i="14"/>
  <c r="K58" i="14"/>
  <c r="L57" i="14"/>
  <c r="G60" i="14"/>
  <c r="V60" i="14"/>
  <c r="F60" i="14"/>
  <c r="Q60" i="14" s="1"/>
  <c r="E61" i="14"/>
  <c r="H60" i="14"/>
  <c r="U60" i="14"/>
  <c r="I60" i="14"/>
  <c r="J60" i="14" s="1"/>
  <c r="T59" i="13"/>
  <c r="S59" i="13"/>
  <c r="T58" i="13"/>
  <c r="S58" i="13"/>
  <c r="H60" i="13"/>
  <c r="V60" i="13"/>
  <c r="F60" i="13"/>
  <c r="Q60" i="13" s="1"/>
  <c r="E61" i="13"/>
  <c r="U60" i="13"/>
  <c r="I60" i="13"/>
  <c r="J60" i="13" s="1"/>
  <c r="G60" i="13"/>
  <c r="L57" i="13"/>
  <c r="K58" i="13"/>
  <c r="T58" i="12"/>
  <c r="S58" i="12"/>
  <c r="L57" i="12"/>
  <c r="K58" i="12"/>
  <c r="H60" i="12"/>
  <c r="G60" i="12"/>
  <c r="V60" i="12"/>
  <c r="F60" i="12"/>
  <c r="Q60" i="12" s="1"/>
  <c r="R60" i="12" s="1"/>
  <c r="E61" i="12"/>
  <c r="I60" i="12"/>
  <c r="J60" i="12" s="1"/>
  <c r="U60" i="12"/>
  <c r="R59" i="12"/>
  <c r="J58" i="11"/>
  <c r="K58" i="11" s="1"/>
  <c r="S58" i="11"/>
  <c r="U58" i="11" s="1"/>
  <c r="T58" i="11"/>
  <c r="V58" i="11" s="1"/>
  <c r="L57" i="11"/>
  <c r="E61" i="11"/>
  <c r="F60" i="11"/>
  <c r="Q60" i="11" s="1"/>
  <c r="R59" i="11"/>
  <c r="G59" i="11"/>
  <c r="H59" i="11" s="1"/>
  <c r="I59" i="11" s="1"/>
  <c r="V57" i="11"/>
  <c r="G59" i="10"/>
  <c r="H59" i="10" s="1"/>
  <c r="L56" i="10"/>
  <c r="J57" i="10"/>
  <c r="K57" i="10" s="1"/>
  <c r="I58" i="10"/>
  <c r="T58" i="10"/>
  <c r="V58" i="10" s="1"/>
  <c r="U58" i="10"/>
  <c r="S59" i="10"/>
  <c r="E61" i="10"/>
  <c r="F60" i="10"/>
  <c r="R60" i="10" s="1"/>
  <c r="J57" i="9"/>
  <c r="E60" i="9"/>
  <c r="F59" i="9"/>
  <c r="R59" i="9" s="1"/>
  <c r="W56" i="9"/>
  <c r="K57" i="9"/>
  <c r="L56" i="9"/>
  <c r="S58" i="9"/>
  <c r="U57" i="9"/>
  <c r="W57" i="9" s="1"/>
  <c r="T57" i="9"/>
  <c r="V57" i="9" s="1"/>
  <c r="G58" i="9"/>
  <c r="H58" i="9" s="1"/>
  <c r="I58" i="9" s="1"/>
  <c r="G58" i="8"/>
  <c r="H58" i="8" s="1"/>
  <c r="I58" i="8" s="1"/>
  <c r="J58" i="8" s="1"/>
  <c r="J57" i="8"/>
  <c r="T58" i="8"/>
  <c r="V58" i="8" s="1"/>
  <c r="U58" i="8"/>
  <c r="W56" i="8"/>
  <c r="U57" i="8"/>
  <c r="T57" i="8"/>
  <c r="V57" i="8" s="1"/>
  <c r="K57" i="8"/>
  <c r="L56" i="8"/>
  <c r="F59" i="8"/>
  <c r="R59" i="8" s="1"/>
  <c r="E60" i="8"/>
  <c r="J57" i="7"/>
  <c r="K57" i="7" s="1"/>
  <c r="L56" i="7"/>
  <c r="S58" i="7"/>
  <c r="U57" i="7"/>
  <c r="T57" i="7"/>
  <c r="V57" i="7" s="1"/>
  <c r="E60" i="7"/>
  <c r="F59" i="7"/>
  <c r="R59" i="7" s="1"/>
  <c r="S59" i="7" s="1"/>
  <c r="G58" i="7"/>
  <c r="H58" i="7" s="1"/>
  <c r="I58" i="7" s="1"/>
  <c r="W54" i="3"/>
  <c r="S55" i="3"/>
  <c r="G56" i="3"/>
  <c r="H56" i="3" s="1"/>
  <c r="I56" i="3" s="1"/>
  <c r="J56" i="3" s="1"/>
  <c r="K56" i="3" s="1"/>
  <c r="L56" i="3" s="1"/>
  <c r="R56" i="3"/>
  <c r="S56" i="3" s="1"/>
  <c r="E58" i="3"/>
  <c r="F57" i="3"/>
  <c r="W57" i="7" l="1"/>
  <c r="R60" i="15"/>
  <c r="K59" i="15"/>
  <c r="L58" i="15"/>
  <c r="H61" i="15"/>
  <c r="G61" i="15"/>
  <c r="V61" i="15"/>
  <c r="F61" i="15"/>
  <c r="Q61" i="15" s="1"/>
  <c r="U61" i="15"/>
  <c r="E62" i="15"/>
  <c r="I61" i="15"/>
  <c r="J61" i="15" s="1"/>
  <c r="H61" i="14"/>
  <c r="G61" i="14"/>
  <c r="V61" i="14"/>
  <c r="F61" i="14"/>
  <c r="Q61" i="14" s="1"/>
  <c r="U61" i="14"/>
  <c r="E62" i="14"/>
  <c r="I61" i="14"/>
  <c r="J61" i="14" s="1"/>
  <c r="S59" i="14"/>
  <c r="T59" i="14"/>
  <c r="K59" i="14"/>
  <c r="L58" i="14"/>
  <c r="R60" i="14"/>
  <c r="L58" i="13"/>
  <c r="K59" i="13"/>
  <c r="R60" i="13"/>
  <c r="H61" i="13"/>
  <c r="V61" i="13"/>
  <c r="F61" i="13"/>
  <c r="Q61" i="13" s="1"/>
  <c r="E62" i="13"/>
  <c r="U61" i="13"/>
  <c r="I61" i="13"/>
  <c r="J61" i="13" s="1"/>
  <c r="G61" i="13"/>
  <c r="T60" i="12"/>
  <c r="S60" i="12"/>
  <c r="L58" i="12"/>
  <c r="K59" i="12"/>
  <c r="T59" i="12"/>
  <c r="S59" i="12"/>
  <c r="H61" i="12"/>
  <c r="G61" i="12"/>
  <c r="V61" i="12"/>
  <c r="F61" i="12"/>
  <c r="Q61" i="12" s="1"/>
  <c r="U61" i="12"/>
  <c r="E62" i="12"/>
  <c r="I61" i="12"/>
  <c r="J61" i="12" s="1"/>
  <c r="J59" i="11"/>
  <c r="K59" i="11" s="1"/>
  <c r="T59" i="11"/>
  <c r="S59" i="11"/>
  <c r="U59" i="11" s="1"/>
  <c r="F61" i="11"/>
  <c r="Q61" i="11" s="1"/>
  <c r="E62" i="11"/>
  <c r="L58" i="11"/>
  <c r="G60" i="11"/>
  <c r="H60" i="11" s="1"/>
  <c r="I60" i="11" s="1"/>
  <c r="R60" i="11"/>
  <c r="L57" i="10"/>
  <c r="J58" i="10"/>
  <c r="K58" i="10" s="1"/>
  <c r="I59" i="10"/>
  <c r="F61" i="10"/>
  <c r="R61" i="10" s="1"/>
  <c r="E62" i="10"/>
  <c r="U59" i="10"/>
  <c r="T59" i="10"/>
  <c r="V59" i="10" s="1"/>
  <c r="S60" i="10"/>
  <c r="G60" i="10"/>
  <c r="H60" i="10" s="1"/>
  <c r="W58" i="10"/>
  <c r="J58" i="9"/>
  <c r="K58" i="9" s="1"/>
  <c r="S59" i="9"/>
  <c r="F60" i="9"/>
  <c r="R60" i="9" s="1"/>
  <c r="E61" i="9"/>
  <c r="G59" i="9"/>
  <c r="H59" i="9" s="1"/>
  <c r="I59" i="9" s="1"/>
  <c r="U58" i="9"/>
  <c r="T58" i="9"/>
  <c r="V58" i="9" s="1"/>
  <c r="L57" i="9"/>
  <c r="W57" i="8"/>
  <c r="W58" i="8"/>
  <c r="E61" i="8"/>
  <c r="F60" i="8"/>
  <c r="R60" i="8" s="1"/>
  <c r="G59" i="8"/>
  <c r="H59" i="8" s="1"/>
  <c r="I59" i="8" s="1"/>
  <c r="J59" i="8" s="1"/>
  <c r="K58" i="8"/>
  <c r="L57" i="8"/>
  <c r="S59" i="8"/>
  <c r="U59" i="7"/>
  <c r="T59" i="7"/>
  <c r="V59" i="7" s="1"/>
  <c r="J58" i="7"/>
  <c r="K58" i="7" s="1"/>
  <c r="T58" i="7"/>
  <c r="V58" i="7" s="1"/>
  <c r="U58" i="7"/>
  <c r="E61" i="7"/>
  <c r="F60" i="7"/>
  <c r="R60" i="7" s="1"/>
  <c r="G59" i="7"/>
  <c r="H59" i="7" s="1"/>
  <c r="I59" i="7" s="1"/>
  <c r="L57" i="7"/>
  <c r="U56" i="3"/>
  <c r="T56" i="3"/>
  <c r="V56" i="3" s="1"/>
  <c r="T55" i="3"/>
  <c r="V55" i="3" s="1"/>
  <c r="U55" i="3"/>
  <c r="G57" i="3"/>
  <c r="H57" i="3" s="1"/>
  <c r="I57" i="3" s="1"/>
  <c r="J57" i="3" s="1"/>
  <c r="K57" i="3" s="1"/>
  <c r="L57" i="3" s="1"/>
  <c r="R57" i="3"/>
  <c r="S57" i="3" s="1"/>
  <c r="E59" i="3"/>
  <c r="F58" i="3"/>
  <c r="H62" i="15" l="1"/>
  <c r="G62" i="15"/>
  <c r="V62" i="15"/>
  <c r="F62" i="15"/>
  <c r="Q62" i="15" s="1"/>
  <c r="E63" i="15"/>
  <c r="I62" i="15"/>
  <c r="J62" i="15" s="1"/>
  <c r="U62" i="15"/>
  <c r="K60" i="15"/>
  <c r="L59" i="15"/>
  <c r="T60" i="15"/>
  <c r="S60" i="15"/>
  <c r="R61" i="15"/>
  <c r="R61" i="14"/>
  <c r="K60" i="14"/>
  <c r="L59" i="14"/>
  <c r="H62" i="14"/>
  <c r="G62" i="14"/>
  <c r="V62" i="14"/>
  <c r="F62" i="14"/>
  <c r="Q62" i="14" s="1"/>
  <c r="E63" i="14"/>
  <c r="I62" i="14"/>
  <c r="J62" i="14" s="1"/>
  <c r="U62" i="14"/>
  <c r="S60" i="14"/>
  <c r="T60" i="14"/>
  <c r="L59" i="13"/>
  <c r="K60" i="13"/>
  <c r="H62" i="13"/>
  <c r="V62" i="13"/>
  <c r="F62" i="13"/>
  <c r="Q62" i="13" s="1"/>
  <c r="R62" i="13" s="1"/>
  <c r="E63" i="13"/>
  <c r="U62" i="13"/>
  <c r="I62" i="13"/>
  <c r="J62" i="13" s="1"/>
  <c r="G62" i="13"/>
  <c r="T60" i="13"/>
  <c r="S60" i="13"/>
  <c r="R61" i="13"/>
  <c r="L59" i="12"/>
  <c r="K60" i="12"/>
  <c r="R61" i="12"/>
  <c r="H62" i="12"/>
  <c r="G62" i="12"/>
  <c r="V62" i="12"/>
  <c r="F62" i="12"/>
  <c r="Q62" i="12" s="1"/>
  <c r="E63" i="12"/>
  <c r="I62" i="12"/>
  <c r="J62" i="12" s="1"/>
  <c r="U62" i="12"/>
  <c r="V59" i="11"/>
  <c r="J60" i="11"/>
  <c r="K60" i="11" s="1"/>
  <c r="L59" i="11"/>
  <c r="T60" i="11"/>
  <c r="S60" i="11"/>
  <c r="U60" i="11" s="1"/>
  <c r="G61" i="11"/>
  <c r="H61" i="11" s="1"/>
  <c r="I61" i="11" s="1"/>
  <c r="R61" i="11"/>
  <c r="E63" i="11"/>
  <c r="F62" i="11"/>
  <c r="Q62" i="11" s="1"/>
  <c r="R62" i="11" s="1"/>
  <c r="L58" i="10"/>
  <c r="G61" i="10"/>
  <c r="H61" i="10" s="1"/>
  <c r="U60" i="10"/>
  <c r="T60" i="10"/>
  <c r="V60" i="10" s="1"/>
  <c r="E63" i="10"/>
  <c r="F62" i="10"/>
  <c r="R62" i="10" s="1"/>
  <c r="S61" i="10"/>
  <c r="W59" i="10"/>
  <c r="J59" i="10"/>
  <c r="K59" i="10" s="1"/>
  <c r="I60" i="10"/>
  <c r="J59" i="9"/>
  <c r="K59" i="9" s="1"/>
  <c r="U59" i="9"/>
  <c r="T59" i="9"/>
  <c r="V59" i="9" s="1"/>
  <c r="L58" i="9"/>
  <c r="S60" i="9"/>
  <c r="W58" i="9"/>
  <c r="G60" i="9"/>
  <c r="H60" i="9" s="1"/>
  <c r="I60" i="9" s="1"/>
  <c r="E62" i="9"/>
  <c r="F61" i="9"/>
  <c r="R61" i="9" s="1"/>
  <c r="S61" i="9" s="1"/>
  <c r="S60" i="8"/>
  <c r="K59" i="8"/>
  <c r="L58" i="8"/>
  <c r="E62" i="8"/>
  <c r="F61" i="8"/>
  <c r="R61" i="8" s="1"/>
  <c r="U59" i="8"/>
  <c r="T59" i="8"/>
  <c r="V59" i="8" s="1"/>
  <c r="G60" i="8"/>
  <c r="H60" i="8" s="1"/>
  <c r="I60" i="8" s="1"/>
  <c r="W58" i="7"/>
  <c r="J59" i="7"/>
  <c r="K59" i="7" s="1"/>
  <c r="F61" i="7"/>
  <c r="R61" i="7" s="1"/>
  <c r="S61" i="7" s="1"/>
  <c r="E62" i="7"/>
  <c r="L58" i="7"/>
  <c r="G60" i="7"/>
  <c r="H60" i="7" s="1"/>
  <c r="I60" i="7" s="1"/>
  <c r="S60" i="7"/>
  <c r="W59" i="7"/>
  <c r="W55" i="3"/>
  <c r="U57" i="3"/>
  <c r="T57" i="3"/>
  <c r="V57" i="3" s="1"/>
  <c r="W56" i="3"/>
  <c r="G58" i="3"/>
  <c r="H58" i="3" s="1"/>
  <c r="I58" i="3" s="1"/>
  <c r="J58" i="3" s="1"/>
  <c r="K58" i="3" s="1"/>
  <c r="L58" i="3" s="1"/>
  <c r="R58" i="3"/>
  <c r="S58" i="3" s="1"/>
  <c r="E60" i="3"/>
  <c r="F59" i="3"/>
  <c r="W59" i="8" l="1"/>
  <c r="T61" i="15"/>
  <c r="S61" i="15"/>
  <c r="K61" i="15"/>
  <c r="L60" i="15"/>
  <c r="H63" i="15"/>
  <c r="G63" i="15"/>
  <c r="V63" i="15"/>
  <c r="F63" i="15"/>
  <c r="Q63" i="15" s="1"/>
  <c r="E64" i="15"/>
  <c r="I63" i="15"/>
  <c r="J63" i="15" s="1"/>
  <c r="U63" i="15"/>
  <c r="R62" i="15"/>
  <c r="K61" i="14"/>
  <c r="L60" i="14"/>
  <c r="T61" i="14"/>
  <c r="S61" i="14"/>
  <c r="H63" i="14"/>
  <c r="G63" i="14"/>
  <c r="V63" i="14"/>
  <c r="F63" i="14"/>
  <c r="Q63" i="14" s="1"/>
  <c r="E64" i="14"/>
  <c r="I63" i="14"/>
  <c r="J63" i="14" s="1"/>
  <c r="U63" i="14"/>
  <c r="R62" i="14"/>
  <c r="T62" i="13"/>
  <c r="S62" i="13"/>
  <c r="H63" i="13"/>
  <c r="V63" i="13"/>
  <c r="F63" i="13"/>
  <c r="Q63" i="13" s="1"/>
  <c r="E64" i="13"/>
  <c r="U63" i="13"/>
  <c r="I63" i="13"/>
  <c r="J63" i="13" s="1"/>
  <c r="G63" i="13"/>
  <c r="L60" i="13"/>
  <c r="K61" i="13"/>
  <c r="T61" i="13"/>
  <c r="S61" i="13"/>
  <c r="T61" i="12"/>
  <c r="S61" i="12"/>
  <c r="L60" i="12"/>
  <c r="K61" i="12"/>
  <c r="H63" i="12"/>
  <c r="G63" i="12"/>
  <c r="V63" i="12"/>
  <c r="F63" i="12"/>
  <c r="Q63" i="12" s="1"/>
  <c r="E64" i="12"/>
  <c r="I63" i="12"/>
  <c r="J63" i="12" s="1"/>
  <c r="U63" i="12"/>
  <c r="R62" i="12"/>
  <c r="J61" i="11"/>
  <c r="S62" i="11"/>
  <c r="U62" i="11" s="1"/>
  <c r="T62" i="11"/>
  <c r="V62" i="11" s="1"/>
  <c r="G62" i="11"/>
  <c r="H62" i="11" s="1"/>
  <c r="I62" i="11" s="1"/>
  <c r="T61" i="11"/>
  <c r="S61" i="11"/>
  <c r="U61" i="11" s="1"/>
  <c r="K61" i="11"/>
  <c r="L60" i="11"/>
  <c r="E64" i="11"/>
  <c r="F63" i="11"/>
  <c r="Q63" i="11" s="1"/>
  <c r="R63" i="11" s="1"/>
  <c r="V60" i="11"/>
  <c r="W60" i="10"/>
  <c r="L59" i="10"/>
  <c r="G62" i="10"/>
  <c r="H62" i="10" s="1"/>
  <c r="U61" i="10"/>
  <c r="T61" i="10"/>
  <c r="V61" i="10" s="1"/>
  <c r="J60" i="10"/>
  <c r="K60" i="10" s="1"/>
  <c r="I61" i="10"/>
  <c r="S62" i="10"/>
  <c r="E64" i="10"/>
  <c r="F63" i="10"/>
  <c r="R63" i="10" s="1"/>
  <c r="J60" i="9"/>
  <c r="T61" i="9"/>
  <c r="V61" i="9" s="1"/>
  <c r="U61" i="9"/>
  <c r="W61" i="9" s="1"/>
  <c r="W59" i="9"/>
  <c r="U60" i="9"/>
  <c r="T60" i="9"/>
  <c r="V60" i="9" s="1"/>
  <c r="E63" i="9"/>
  <c r="F62" i="9"/>
  <c r="R62" i="9" s="1"/>
  <c r="S62" i="9" s="1"/>
  <c r="G61" i="9"/>
  <c r="H61" i="9" s="1"/>
  <c r="I61" i="9" s="1"/>
  <c r="K60" i="9"/>
  <c r="L59" i="9"/>
  <c r="J60" i="8"/>
  <c r="T60" i="8"/>
  <c r="V60" i="8" s="1"/>
  <c r="U60" i="8"/>
  <c r="W60" i="8" s="1"/>
  <c r="G61" i="8"/>
  <c r="H61" i="8" s="1"/>
  <c r="I61" i="8" s="1"/>
  <c r="E63" i="8"/>
  <c r="F62" i="8"/>
  <c r="R62" i="8" s="1"/>
  <c r="G62" i="8"/>
  <c r="H62" i="8" s="1"/>
  <c r="K60" i="8"/>
  <c r="L59" i="8"/>
  <c r="S61" i="8"/>
  <c r="J60" i="7"/>
  <c r="K60" i="7" s="1"/>
  <c r="U61" i="7"/>
  <c r="T61" i="7"/>
  <c r="V61" i="7" s="1"/>
  <c r="U60" i="7"/>
  <c r="T60" i="7"/>
  <c r="V60" i="7" s="1"/>
  <c r="G61" i="7"/>
  <c r="H61" i="7" s="1"/>
  <c r="I61" i="7" s="1"/>
  <c r="L59" i="7"/>
  <c r="E63" i="7"/>
  <c r="F62" i="7"/>
  <c r="R62" i="7" s="1"/>
  <c r="S62" i="7" s="1"/>
  <c r="T58" i="3"/>
  <c r="V58" i="3" s="1"/>
  <c r="U58" i="3"/>
  <c r="W57" i="3"/>
  <c r="G59" i="3"/>
  <c r="H59" i="3" s="1"/>
  <c r="I59" i="3" s="1"/>
  <c r="J59" i="3" s="1"/>
  <c r="K59" i="3" s="1"/>
  <c r="L59" i="3" s="1"/>
  <c r="R59" i="3"/>
  <c r="E61" i="3"/>
  <c r="F60" i="3"/>
  <c r="L61" i="15" l="1"/>
  <c r="K62" i="15"/>
  <c r="T62" i="15"/>
  <c r="S62" i="15"/>
  <c r="H64" i="15"/>
  <c r="G64" i="15"/>
  <c r="V64" i="15"/>
  <c r="F64" i="15"/>
  <c r="Q64" i="15" s="1"/>
  <c r="E65" i="15"/>
  <c r="I64" i="15"/>
  <c r="J64" i="15" s="1"/>
  <c r="U64" i="15"/>
  <c r="R63" i="15"/>
  <c r="T62" i="14"/>
  <c r="S62" i="14"/>
  <c r="H64" i="14"/>
  <c r="G64" i="14"/>
  <c r="V64" i="14"/>
  <c r="F64" i="14"/>
  <c r="Q64" i="14" s="1"/>
  <c r="E65" i="14"/>
  <c r="I64" i="14"/>
  <c r="J64" i="14" s="1"/>
  <c r="U64" i="14"/>
  <c r="R63" i="14"/>
  <c r="L61" i="14"/>
  <c r="K62" i="14"/>
  <c r="L61" i="13"/>
  <c r="K62" i="13"/>
  <c r="H64" i="13"/>
  <c r="V64" i="13"/>
  <c r="F64" i="13"/>
  <c r="Q64" i="13" s="1"/>
  <c r="R64" i="13" s="1"/>
  <c r="E65" i="13"/>
  <c r="U64" i="13"/>
  <c r="I64" i="13"/>
  <c r="J64" i="13" s="1"/>
  <c r="G64" i="13"/>
  <c r="R63" i="13"/>
  <c r="H64" i="12"/>
  <c r="G64" i="12"/>
  <c r="V64" i="12"/>
  <c r="F64" i="12"/>
  <c r="Q64" i="12" s="1"/>
  <c r="R64" i="12" s="1"/>
  <c r="E65" i="12"/>
  <c r="I64" i="12"/>
  <c r="J64" i="12" s="1"/>
  <c r="U64" i="12"/>
  <c r="L61" i="12"/>
  <c r="K62" i="12"/>
  <c r="T62" i="12"/>
  <c r="S62" i="12"/>
  <c r="R63" i="12"/>
  <c r="J62" i="11"/>
  <c r="T63" i="11"/>
  <c r="S63" i="11"/>
  <c r="U63" i="11" s="1"/>
  <c r="E65" i="11"/>
  <c r="U64" i="11"/>
  <c r="F64" i="11"/>
  <c r="Q64" i="11" s="1"/>
  <c r="I64" i="11"/>
  <c r="J64" i="11" s="1"/>
  <c r="H64" i="11"/>
  <c r="V64" i="11"/>
  <c r="G64" i="11"/>
  <c r="G63" i="11"/>
  <c r="H63" i="11" s="1"/>
  <c r="I63" i="11" s="1"/>
  <c r="J63" i="11" s="1"/>
  <c r="V61" i="11"/>
  <c r="K62" i="11"/>
  <c r="L61" i="11"/>
  <c r="L60" i="10"/>
  <c r="W61" i="10"/>
  <c r="T62" i="10"/>
  <c r="V62" i="10" s="1"/>
  <c r="U62" i="10"/>
  <c r="W62" i="10" s="1"/>
  <c r="J61" i="10"/>
  <c r="K61" i="10" s="1"/>
  <c r="I62" i="10"/>
  <c r="E65" i="10"/>
  <c r="V64" i="10"/>
  <c r="F64" i="10"/>
  <c r="R64" i="10" s="1"/>
  <c r="I64" i="10"/>
  <c r="J64" i="10" s="1"/>
  <c r="H64" i="10"/>
  <c r="W64" i="10"/>
  <c r="G64" i="10"/>
  <c r="G63" i="10"/>
  <c r="H63" i="10" s="1"/>
  <c r="S63" i="10"/>
  <c r="U62" i="9"/>
  <c r="W62" i="9" s="1"/>
  <c r="T62" i="9"/>
  <c r="V62" i="9" s="1"/>
  <c r="J61" i="9"/>
  <c r="K61" i="9" s="1"/>
  <c r="E64" i="9"/>
  <c r="F63" i="9"/>
  <c r="R63" i="9" s="1"/>
  <c r="G62" i="9"/>
  <c r="H62" i="9" s="1"/>
  <c r="I62" i="9" s="1"/>
  <c r="W60" i="9"/>
  <c r="L60" i="9"/>
  <c r="J61" i="8"/>
  <c r="K61" i="8" s="1"/>
  <c r="I62" i="8"/>
  <c r="J62" i="8" s="1"/>
  <c r="L60" i="8"/>
  <c r="E64" i="8"/>
  <c r="F63" i="8"/>
  <c r="R63" i="8" s="1"/>
  <c r="S62" i="8"/>
  <c r="U61" i="8"/>
  <c r="T61" i="8"/>
  <c r="V61" i="8" s="1"/>
  <c r="J61" i="7"/>
  <c r="W61" i="7"/>
  <c r="G62" i="7"/>
  <c r="H62" i="7" s="1"/>
  <c r="I62" i="7" s="1"/>
  <c r="K61" i="7"/>
  <c r="L60" i="7"/>
  <c r="W60" i="7"/>
  <c r="T62" i="7"/>
  <c r="V62" i="7" s="1"/>
  <c r="U62" i="7"/>
  <c r="W62" i="7" s="1"/>
  <c r="E64" i="7"/>
  <c r="F63" i="7"/>
  <c r="R63" i="7" s="1"/>
  <c r="S63" i="7" s="1"/>
  <c r="W58" i="3"/>
  <c r="S59" i="3"/>
  <c r="G60" i="3"/>
  <c r="H60" i="3" s="1"/>
  <c r="I60" i="3" s="1"/>
  <c r="J60" i="3" s="1"/>
  <c r="K60" i="3" s="1"/>
  <c r="L60" i="3" s="1"/>
  <c r="R60" i="3"/>
  <c r="S60" i="3" s="1"/>
  <c r="E62" i="3"/>
  <c r="F61" i="3"/>
  <c r="W61" i="8" l="1"/>
  <c r="T63" i="15"/>
  <c r="S63" i="15"/>
  <c r="H65" i="15"/>
  <c r="G65" i="15"/>
  <c r="V65" i="15"/>
  <c r="F65" i="15"/>
  <c r="Q65" i="15" s="1"/>
  <c r="R65" i="15" s="1"/>
  <c r="U65" i="15"/>
  <c r="E66" i="15"/>
  <c r="I65" i="15"/>
  <c r="J65" i="15" s="1"/>
  <c r="L62" i="15"/>
  <c r="K63" i="15"/>
  <c r="R64" i="15"/>
  <c r="T63" i="14"/>
  <c r="S63" i="14"/>
  <c r="L62" i="14"/>
  <c r="K63" i="14"/>
  <c r="H65" i="14"/>
  <c r="G65" i="14"/>
  <c r="V65" i="14"/>
  <c r="F65" i="14"/>
  <c r="Q65" i="14" s="1"/>
  <c r="U65" i="14"/>
  <c r="E66" i="14"/>
  <c r="I65" i="14"/>
  <c r="J65" i="14" s="1"/>
  <c r="R64" i="14"/>
  <c r="T64" i="13"/>
  <c r="S64" i="13"/>
  <c r="L62" i="13"/>
  <c r="K63" i="13"/>
  <c r="T63" i="13"/>
  <c r="S63" i="13"/>
  <c r="H65" i="13"/>
  <c r="V65" i="13"/>
  <c r="F65" i="13"/>
  <c r="Q65" i="13" s="1"/>
  <c r="E66" i="13"/>
  <c r="U65" i="13"/>
  <c r="I65" i="13"/>
  <c r="J65" i="13" s="1"/>
  <c r="G65" i="13"/>
  <c r="T64" i="12"/>
  <c r="S64" i="12"/>
  <c r="T63" i="12"/>
  <c r="S63" i="12"/>
  <c r="L62" i="12"/>
  <c r="K63" i="12"/>
  <c r="H65" i="12"/>
  <c r="G65" i="12"/>
  <c r="V65" i="12"/>
  <c r="F65" i="12"/>
  <c r="Q65" i="12" s="1"/>
  <c r="U65" i="12"/>
  <c r="E66" i="12"/>
  <c r="I65" i="12"/>
  <c r="J65" i="12" s="1"/>
  <c r="V63" i="11"/>
  <c r="K63" i="11"/>
  <c r="L62" i="11"/>
  <c r="R64" i="11"/>
  <c r="I65" i="11"/>
  <c r="J65" i="11" s="1"/>
  <c r="H65" i="11"/>
  <c r="V65" i="11"/>
  <c r="G65" i="11"/>
  <c r="E66" i="11"/>
  <c r="U65" i="11"/>
  <c r="F65" i="11"/>
  <c r="Q65" i="11" s="1"/>
  <c r="L61" i="10"/>
  <c r="I65" i="10"/>
  <c r="J65" i="10" s="1"/>
  <c r="H65" i="10"/>
  <c r="W65" i="10"/>
  <c r="G65" i="10"/>
  <c r="E66" i="10"/>
  <c r="V65" i="10"/>
  <c r="F65" i="10"/>
  <c r="R65" i="10" s="1"/>
  <c r="J62" i="10"/>
  <c r="K62" i="10" s="1"/>
  <c r="I63" i="10"/>
  <c r="J63" i="10" s="1"/>
  <c r="U63" i="10"/>
  <c r="T63" i="10"/>
  <c r="V63" i="10" s="1"/>
  <c r="S64" i="10"/>
  <c r="J62" i="9"/>
  <c r="G63" i="9"/>
  <c r="H63" i="9" s="1"/>
  <c r="I63" i="9" s="1"/>
  <c r="J63" i="9" s="1"/>
  <c r="S63" i="9"/>
  <c r="K62" i="9"/>
  <c r="L61" i="9"/>
  <c r="I64" i="9"/>
  <c r="J64" i="9" s="1"/>
  <c r="H64" i="9"/>
  <c r="W64" i="9"/>
  <c r="G64" i="9"/>
  <c r="E65" i="9"/>
  <c r="V64" i="9"/>
  <c r="F64" i="9"/>
  <c r="R64" i="9" s="1"/>
  <c r="S64" i="9" s="1"/>
  <c r="S63" i="8"/>
  <c r="G63" i="8"/>
  <c r="H63" i="8" s="1"/>
  <c r="I63" i="8" s="1"/>
  <c r="J63" i="8" s="1"/>
  <c r="L61" i="8"/>
  <c r="K62" i="8"/>
  <c r="E65" i="8"/>
  <c r="V64" i="8"/>
  <c r="F64" i="8"/>
  <c r="R64" i="8" s="1"/>
  <c r="H64" i="8"/>
  <c r="W64" i="8"/>
  <c r="G64" i="8"/>
  <c r="I64" i="8"/>
  <c r="J64" i="8" s="1"/>
  <c r="T62" i="8"/>
  <c r="V62" i="8" s="1"/>
  <c r="U62" i="8"/>
  <c r="J62" i="7"/>
  <c r="K62" i="7" s="1"/>
  <c r="U63" i="7"/>
  <c r="T63" i="7"/>
  <c r="V63" i="7" s="1"/>
  <c r="E65" i="7"/>
  <c r="V64" i="7"/>
  <c r="F64" i="7"/>
  <c r="R64" i="7" s="1"/>
  <c r="S64" i="7" s="1"/>
  <c r="I64" i="7"/>
  <c r="J64" i="7" s="1"/>
  <c r="H64" i="7"/>
  <c r="W64" i="7"/>
  <c r="G64" i="7"/>
  <c r="G63" i="7"/>
  <c r="H63" i="7" s="1"/>
  <c r="I63" i="7" s="1"/>
  <c r="J63" i="7" s="1"/>
  <c r="L61" i="7"/>
  <c r="U60" i="3"/>
  <c r="T60" i="3"/>
  <c r="V60" i="3" s="1"/>
  <c r="T59" i="3"/>
  <c r="V59" i="3" s="1"/>
  <c r="U59" i="3"/>
  <c r="G61" i="3"/>
  <c r="H61" i="3" s="1"/>
  <c r="I61" i="3" s="1"/>
  <c r="J61" i="3" s="1"/>
  <c r="K61" i="3" s="1"/>
  <c r="L61" i="3" s="1"/>
  <c r="R61" i="3"/>
  <c r="S61" i="3" s="1"/>
  <c r="E63" i="3"/>
  <c r="F62" i="3"/>
  <c r="W62" i="8" l="1"/>
  <c r="T65" i="15"/>
  <c r="S65" i="15"/>
  <c r="T64" i="15"/>
  <c r="S64" i="15"/>
  <c r="H66" i="15"/>
  <c r="G66" i="15"/>
  <c r="V66" i="15"/>
  <c r="F66" i="15"/>
  <c r="Q66" i="15" s="1"/>
  <c r="E67" i="15"/>
  <c r="I66" i="15"/>
  <c r="J66" i="15" s="1"/>
  <c r="U66" i="15"/>
  <c r="L63" i="15"/>
  <c r="K64" i="15"/>
  <c r="T64" i="14"/>
  <c r="S64" i="14"/>
  <c r="L63" i="14"/>
  <c r="K64" i="14"/>
  <c r="H66" i="14"/>
  <c r="G66" i="14"/>
  <c r="V66" i="14"/>
  <c r="F66" i="14"/>
  <c r="Q66" i="14" s="1"/>
  <c r="E67" i="14"/>
  <c r="I66" i="14"/>
  <c r="J66" i="14" s="1"/>
  <c r="U66" i="14"/>
  <c r="R65" i="14"/>
  <c r="L63" i="13"/>
  <c r="K64" i="13"/>
  <c r="H66" i="13"/>
  <c r="V66" i="13"/>
  <c r="F66" i="13"/>
  <c r="Q66" i="13" s="1"/>
  <c r="R66" i="13" s="1"/>
  <c r="E67" i="13"/>
  <c r="U66" i="13"/>
  <c r="I66" i="13"/>
  <c r="J66" i="13" s="1"/>
  <c r="G66" i="13"/>
  <c r="R65" i="13"/>
  <c r="H66" i="12"/>
  <c r="G66" i="12"/>
  <c r="V66" i="12"/>
  <c r="F66" i="12"/>
  <c r="Q66" i="12" s="1"/>
  <c r="R66" i="12" s="1"/>
  <c r="E67" i="12"/>
  <c r="I66" i="12"/>
  <c r="J66" i="12" s="1"/>
  <c r="U66" i="12"/>
  <c r="R65" i="12"/>
  <c r="L63" i="12"/>
  <c r="K64" i="12"/>
  <c r="K64" i="11"/>
  <c r="L63" i="11"/>
  <c r="R65" i="11"/>
  <c r="H66" i="11"/>
  <c r="V66" i="11"/>
  <c r="G66" i="11"/>
  <c r="E67" i="11"/>
  <c r="U66" i="11"/>
  <c r="F66" i="11"/>
  <c r="Q66" i="11" s="1"/>
  <c r="R66" i="11" s="1"/>
  <c r="I66" i="11"/>
  <c r="J66" i="11" s="1"/>
  <c r="T64" i="11"/>
  <c r="S64" i="11"/>
  <c r="W63" i="10"/>
  <c r="K63" i="10"/>
  <c r="L62" i="10"/>
  <c r="U64" i="10"/>
  <c r="T64" i="10"/>
  <c r="S65" i="10"/>
  <c r="H66" i="10"/>
  <c r="W66" i="10"/>
  <c r="G66" i="10"/>
  <c r="E67" i="10"/>
  <c r="V66" i="10"/>
  <c r="F66" i="10"/>
  <c r="R66" i="10" s="1"/>
  <c r="I66" i="10"/>
  <c r="J66" i="10" s="1"/>
  <c r="U64" i="9"/>
  <c r="T64" i="9"/>
  <c r="H65" i="9"/>
  <c r="W65" i="9"/>
  <c r="G65" i="9"/>
  <c r="E66" i="9"/>
  <c r="V65" i="9"/>
  <c r="F65" i="9"/>
  <c r="R65" i="9" s="1"/>
  <c r="S65" i="9" s="1"/>
  <c r="I65" i="9"/>
  <c r="J65" i="9" s="1"/>
  <c r="K63" i="9"/>
  <c r="L62" i="9"/>
  <c r="U63" i="9"/>
  <c r="T63" i="9"/>
  <c r="V63" i="9" s="1"/>
  <c r="U63" i="8"/>
  <c r="T63" i="8"/>
  <c r="V63" i="8" s="1"/>
  <c r="K63" i="8"/>
  <c r="L62" i="8"/>
  <c r="S64" i="8"/>
  <c r="I65" i="8"/>
  <c r="J65" i="8" s="1"/>
  <c r="W65" i="8"/>
  <c r="G65" i="8"/>
  <c r="E66" i="8"/>
  <c r="H65" i="8"/>
  <c r="V65" i="8"/>
  <c r="F65" i="8"/>
  <c r="R65" i="8" s="1"/>
  <c r="U64" i="7"/>
  <c r="T64" i="7"/>
  <c r="K63" i="7"/>
  <c r="L62" i="7"/>
  <c r="I65" i="7"/>
  <c r="J65" i="7" s="1"/>
  <c r="H65" i="7"/>
  <c r="W65" i="7"/>
  <c r="G65" i="7"/>
  <c r="E66" i="7"/>
  <c r="V65" i="7"/>
  <c r="F65" i="7"/>
  <c r="R65" i="7" s="1"/>
  <c r="S65" i="7" s="1"/>
  <c r="W63" i="7"/>
  <c r="W59" i="3"/>
  <c r="U61" i="3"/>
  <c r="T61" i="3"/>
  <c r="V61" i="3" s="1"/>
  <c r="W60" i="3"/>
  <c r="G62" i="3"/>
  <c r="H62" i="3" s="1"/>
  <c r="I62" i="3" s="1"/>
  <c r="J62" i="3" s="1"/>
  <c r="K62" i="3" s="1"/>
  <c r="L62" i="3" s="1"/>
  <c r="R62" i="3"/>
  <c r="S62" i="3" s="1"/>
  <c r="E64" i="3"/>
  <c r="F63" i="3"/>
  <c r="L64" i="15" l="1"/>
  <c r="K65" i="15"/>
  <c r="H67" i="15"/>
  <c r="G67" i="15"/>
  <c r="V67" i="15"/>
  <c r="F67" i="15"/>
  <c r="Q67" i="15" s="1"/>
  <c r="E68" i="15"/>
  <c r="I67" i="15"/>
  <c r="J67" i="15" s="1"/>
  <c r="U67" i="15"/>
  <c r="R66" i="15"/>
  <c r="L64" i="14"/>
  <c r="K65" i="14"/>
  <c r="T65" i="14"/>
  <c r="S65" i="14"/>
  <c r="R66" i="14"/>
  <c r="H67" i="14"/>
  <c r="G67" i="14"/>
  <c r="V67" i="14"/>
  <c r="F67" i="14"/>
  <c r="Q67" i="14" s="1"/>
  <c r="E68" i="14"/>
  <c r="I67" i="14"/>
  <c r="J67" i="14" s="1"/>
  <c r="U67" i="14"/>
  <c r="T66" i="13"/>
  <c r="S66" i="13"/>
  <c r="T65" i="13"/>
  <c r="S65" i="13"/>
  <c r="H67" i="13"/>
  <c r="V67" i="13"/>
  <c r="F67" i="13"/>
  <c r="Q67" i="13" s="1"/>
  <c r="E68" i="13"/>
  <c r="U67" i="13"/>
  <c r="I67" i="13"/>
  <c r="J67" i="13" s="1"/>
  <c r="G67" i="13"/>
  <c r="L64" i="13"/>
  <c r="K65" i="13"/>
  <c r="T66" i="12"/>
  <c r="S66" i="12"/>
  <c r="L64" i="12"/>
  <c r="K65" i="12"/>
  <c r="H67" i="12"/>
  <c r="G67" i="12"/>
  <c r="V67" i="12"/>
  <c r="F67" i="12"/>
  <c r="Q67" i="12" s="1"/>
  <c r="E68" i="12"/>
  <c r="I67" i="12"/>
  <c r="J67" i="12" s="1"/>
  <c r="U67" i="12"/>
  <c r="T65" i="12"/>
  <c r="S65" i="12"/>
  <c r="S66" i="11"/>
  <c r="T66" i="11"/>
  <c r="V67" i="11"/>
  <c r="G67" i="11"/>
  <c r="E68" i="11"/>
  <c r="U67" i="11"/>
  <c r="F67" i="11"/>
  <c r="Q67" i="11" s="1"/>
  <c r="I67" i="11"/>
  <c r="J67" i="11" s="1"/>
  <c r="H67" i="11"/>
  <c r="T65" i="11"/>
  <c r="S65" i="11"/>
  <c r="K65" i="11"/>
  <c r="L64" i="11"/>
  <c r="W67" i="10"/>
  <c r="G67" i="10"/>
  <c r="E68" i="10"/>
  <c r="V67" i="10"/>
  <c r="F67" i="10"/>
  <c r="R67" i="10" s="1"/>
  <c r="I67" i="10"/>
  <c r="J67" i="10" s="1"/>
  <c r="H67" i="10"/>
  <c r="S66" i="10"/>
  <c r="U65" i="10"/>
  <c r="T65" i="10"/>
  <c r="K64" i="10"/>
  <c r="L63" i="10"/>
  <c r="W63" i="9"/>
  <c r="T65" i="9"/>
  <c r="U65" i="9"/>
  <c r="K64" i="9"/>
  <c r="L63" i="9"/>
  <c r="W66" i="9"/>
  <c r="G66" i="9"/>
  <c r="E67" i="9"/>
  <c r="V66" i="9"/>
  <c r="F66" i="9"/>
  <c r="R66" i="9" s="1"/>
  <c r="S66" i="9" s="1"/>
  <c r="I66" i="9"/>
  <c r="J66" i="9" s="1"/>
  <c r="H66" i="9"/>
  <c r="T64" i="8"/>
  <c r="U64" i="8"/>
  <c r="K64" i="8"/>
  <c r="L63" i="8"/>
  <c r="H66" i="8"/>
  <c r="W66" i="8"/>
  <c r="G66" i="8"/>
  <c r="E67" i="8"/>
  <c r="V66" i="8"/>
  <c r="F66" i="8"/>
  <c r="R66" i="8" s="1"/>
  <c r="I66" i="8"/>
  <c r="J66" i="8" s="1"/>
  <c r="S65" i="8"/>
  <c r="W63" i="8"/>
  <c r="U65" i="7"/>
  <c r="T65" i="7"/>
  <c r="H66" i="7"/>
  <c r="W66" i="7"/>
  <c r="G66" i="7"/>
  <c r="E67" i="7"/>
  <c r="V66" i="7"/>
  <c r="F66" i="7"/>
  <c r="R66" i="7" s="1"/>
  <c r="I66" i="7"/>
  <c r="J66" i="7" s="1"/>
  <c r="K64" i="7"/>
  <c r="L63" i="7"/>
  <c r="T62" i="3"/>
  <c r="V62" i="3" s="1"/>
  <c r="U62" i="3"/>
  <c r="W62" i="3" s="1"/>
  <c r="W64" i="3"/>
  <c r="V64" i="3"/>
  <c r="W61" i="3"/>
  <c r="G63" i="3"/>
  <c r="H63" i="3" s="1"/>
  <c r="I63" i="3" s="1"/>
  <c r="J63" i="3" s="1"/>
  <c r="K63" i="3" s="1"/>
  <c r="L63" i="3" s="1"/>
  <c r="R63" i="3"/>
  <c r="E65" i="3"/>
  <c r="F64" i="3"/>
  <c r="R67" i="15" l="1"/>
  <c r="L65" i="15"/>
  <c r="K66" i="15"/>
  <c r="T66" i="15"/>
  <c r="S66" i="15"/>
  <c r="H68" i="15"/>
  <c r="G68" i="15"/>
  <c r="V68" i="15"/>
  <c r="F68" i="15"/>
  <c r="Q68" i="15" s="1"/>
  <c r="E69" i="15"/>
  <c r="I68" i="15"/>
  <c r="J68" i="15" s="1"/>
  <c r="U68" i="15"/>
  <c r="H68" i="14"/>
  <c r="G68" i="14"/>
  <c r="V68" i="14"/>
  <c r="F68" i="14"/>
  <c r="Q68" i="14" s="1"/>
  <c r="R68" i="14" s="1"/>
  <c r="E69" i="14"/>
  <c r="I68" i="14"/>
  <c r="J68" i="14" s="1"/>
  <c r="U68" i="14"/>
  <c r="T66" i="14"/>
  <c r="S66" i="14"/>
  <c r="L65" i="14"/>
  <c r="K66" i="14"/>
  <c r="R67" i="14"/>
  <c r="L65" i="13"/>
  <c r="K66" i="13"/>
  <c r="R67" i="13"/>
  <c r="H68" i="13"/>
  <c r="V68" i="13"/>
  <c r="F68" i="13"/>
  <c r="Q68" i="13" s="1"/>
  <c r="E69" i="13"/>
  <c r="U68" i="13"/>
  <c r="I68" i="13"/>
  <c r="J68" i="13" s="1"/>
  <c r="G68" i="13"/>
  <c r="R67" i="12"/>
  <c r="L65" i="12"/>
  <c r="K66" i="12"/>
  <c r="H68" i="12"/>
  <c r="G68" i="12"/>
  <c r="V68" i="12"/>
  <c r="F68" i="12"/>
  <c r="Q68" i="12" s="1"/>
  <c r="E69" i="12"/>
  <c r="I68" i="12"/>
  <c r="J68" i="12" s="1"/>
  <c r="U68" i="12"/>
  <c r="K66" i="11"/>
  <c r="L65" i="11"/>
  <c r="R67" i="11"/>
  <c r="E69" i="11"/>
  <c r="U68" i="11"/>
  <c r="F68" i="11"/>
  <c r="Q68" i="11" s="1"/>
  <c r="I68" i="11"/>
  <c r="J68" i="11" s="1"/>
  <c r="H68" i="11"/>
  <c r="V68" i="11"/>
  <c r="G68" i="11"/>
  <c r="K65" i="10"/>
  <c r="L64" i="10"/>
  <c r="E69" i="10"/>
  <c r="V68" i="10"/>
  <c r="F68" i="10"/>
  <c r="R68" i="10" s="1"/>
  <c r="S68" i="10" s="1"/>
  <c r="I68" i="10"/>
  <c r="J68" i="10" s="1"/>
  <c r="H68" i="10"/>
  <c r="W68" i="10"/>
  <c r="G68" i="10"/>
  <c r="T66" i="10"/>
  <c r="U66" i="10"/>
  <c r="S67" i="10"/>
  <c r="U66" i="9"/>
  <c r="T66" i="9"/>
  <c r="E68" i="9"/>
  <c r="V67" i="9"/>
  <c r="F67" i="9"/>
  <c r="R67" i="9" s="1"/>
  <c r="I67" i="9"/>
  <c r="J67" i="9" s="1"/>
  <c r="H67" i="9"/>
  <c r="W67" i="9"/>
  <c r="G67" i="9"/>
  <c r="K65" i="9"/>
  <c r="L64" i="9"/>
  <c r="K65" i="8"/>
  <c r="L64" i="8"/>
  <c r="U65" i="8"/>
  <c r="T65" i="8"/>
  <c r="S66" i="8"/>
  <c r="W67" i="8"/>
  <c r="G67" i="8"/>
  <c r="E68" i="8"/>
  <c r="V67" i="8"/>
  <c r="F67" i="8"/>
  <c r="R67" i="8" s="1"/>
  <c r="I67" i="8"/>
  <c r="J67" i="8" s="1"/>
  <c r="H67" i="8"/>
  <c r="K65" i="7"/>
  <c r="L64" i="7"/>
  <c r="W67" i="7"/>
  <c r="G67" i="7"/>
  <c r="E68" i="7"/>
  <c r="V67" i="7"/>
  <c r="F67" i="7"/>
  <c r="R67" i="7" s="1"/>
  <c r="S67" i="7" s="1"/>
  <c r="I67" i="7"/>
  <c r="J67" i="7" s="1"/>
  <c r="H67" i="7"/>
  <c r="S66" i="7"/>
  <c r="W65" i="3"/>
  <c r="V65" i="3"/>
  <c r="S63" i="3"/>
  <c r="G64" i="3"/>
  <c r="H64" i="3" s="1"/>
  <c r="I64" i="3" s="1"/>
  <c r="J64" i="3" s="1"/>
  <c r="K64" i="3" s="1"/>
  <c r="L64" i="3" s="1"/>
  <c r="R64" i="3"/>
  <c r="S64" i="3" s="1"/>
  <c r="E66" i="3"/>
  <c r="F65" i="3"/>
  <c r="H69" i="15" l="1"/>
  <c r="G69" i="15"/>
  <c r="V69" i="15"/>
  <c r="F69" i="15"/>
  <c r="Q69" i="15" s="1"/>
  <c r="R69" i="15" s="1"/>
  <c r="U69" i="15"/>
  <c r="I69" i="15"/>
  <c r="J69" i="15" s="1"/>
  <c r="T67" i="15"/>
  <c r="S67" i="15"/>
  <c r="L66" i="15"/>
  <c r="K67" i="15"/>
  <c r="R68" i="15"/>
  <c r="T68" i="14"/>
  <c r="S68" i="14"/>
  <c r="H69" i="14"/>
  <c r="G69" i="14"/>
  <c r="V69" i="14"/>
  <c r="F69" i="14"/>
  <c r="Q69" i="14" s="1"/>
  <c r="R69" i="14" s="1"/>
  <c r="U69" i="14"/>
  <c r="I69" i="14"/>
  <c r="J69" i="14" s="1"/>
  <c r="T67" i="14"/>
  <c r="S67" i="14"/>
  <c r="L66" i="14"/>
  <c r="K67" i="14"/>
  <c r="H69" i="13"/>
  <c r="V69" i="13"/>
  <c r="F69" i="13"/>
  <c r="Q69" i="13" s="1"/>
  <c r="R69" i="13" s="1"/>
  <c r="U69" i="13"/>
  <c r="I69" i="13"/>
  <c r="J69" i="13" s="1"/>
  <c r="G69" i="13"/>
  <c r="L66" i="13"/>
  <c r="K67" i="13"/>
  <c r="T67" i="13"/>
  <c r="S67" i="13"/>
  <c r="R68" i="13"/>
  <c r="L66" i="12"/>
  <c r="K67" i="12"/>
  <c r="H69" i="12"/>
  <c r="G69" i="12"/>
  <c r="V69" i="12"/>
  <c r="F69" i="12"/>
  <c r="Q69" i="12" s="1"/>
  <c r="R69" i="12" s="1"/>
  <c r="U69" i="12"/>
  <c r="I69" i="12"/>
  <c r="J69" i="12" s="1"/>
  <c r="T67" i="12"/>
  <c r="S67" i="12"/>
  <c r="R68" i="12"/>
  <c r="T67" i="11"/>
  <c r="S67" i="11"/>
  <c r="K67" i="11"/>
  <c r="L66" i="11"/>
  <c r="R68" i="11"/>
  <c r="I69" i="11"/>
  <c r="J69" i="11" s="1"/>
  <c r="H69" i="11"/>
  <c r="V69" i="11"/>
  <c r="G69" i="11"/>
  <c r="U69" i="11"/>
  <c r="F69" i="11"/>
  <c r="Q69" i="11" s="1"/>
  <c r="R69" i="11" s="1"/>
  <c r="U68" i="10"/>
  <c r="T68" i="10"/>
  <c r="I69" i="10"/>
  <c r="J69" i="10" s="1"/>
  <c r="H69" i="10"/>
  <c r="W69" i="10"/>
  <c r="G69" i="10"/>
  <c r="V69" i="10"/>
  <c r="F69" i="10"/>
  <c r="R69" i="10" s="1"/>
  <c r="S69" i="10" s="1"/>
  <c r="U67" i="10"/>
  <c r="T67" i="10"/>
  <c r="K66" i="10"/>
  <c r="L65" i="10"/>
  <c r="I68" i="9"/>
  <c r="J68" i="9" s="1"/>
  <c r="H68" i="9"/>
  <c r="W68" i="9"/>
  <c r="G68" i="9"/>
  <c r="E69" i="9"/>
  <c r="V68" i="9"/>
  <c r="F68" i="9"/>
  <c r="R68" i="9" s="1"/>
  <c r="K66" i="9"/>
  <c r="L65" i="9"/>
  <c r="S67" i="9"/>
  <c r="T66" i="8"/>
  <c r="U66" i="8"/>
  <c r="K66" i="8"/>
  <c r="L65" i="8"/>
  <c r="E69" i="8"/>
  <c r="V68" i="8"/>
  <c r="F68" i="8"/>
  <c r="R68" i="8" s="1"/>
  <c r="I68" i="8"/>
  <c r="J68" i="8" s="1"/>
  <c r="H68" i="8"/>
  <c r="W68" i="8"/>
  <c r="G68" i="8"/>
  <c r="S67" i="8"/>
  <c r="U67" i="7"/>
  <c r="T67" i="7"/>
  <c r="T66" i="7"/>
  <c r="U66" i="7"/>
  <c r="E69" i="7"/>
  <c r="V68" i="7"/>
  <c r="F68" i="7"/>
  <c r="R68" i="7" s="1"/>
  <c r="S68" i="7" s="1"/>
  <c r="I68" i="7"/>
  <c r="J68" i="7" s="1"/>
  <c r="H68" i="7"/>
  <c r="W68" i="7"/>
  <c r="G68" i="7"/>
  <c r="K66" i="7"/>
  <c r="L65" i="7"/>
  <c r="U64" i="3"/>
  <c r="T64" i="3"/>
  <c r="T63" i="3"/>
  <c r="V63" i="3" s="1"/>
  <c r="U63" i="3"/>
  <c r="V66" i="3"/>
  <c r="W66" i="3"/>
  <c r="G65" i="3"/>
  <c r="H65" i="3" s="1"/>
  <c r="I65" i="3" s="1"/>
  <c r="J65" i="3" s="1"/>
  <c r="K65" i="3" s="1"/>
  <c r="L65" i="3" s="1"/>
  <c r="R65" i="3"/>
  <c r="S65" i="3" s="1"/>
  <c r="E67" i="3"/>
  <c r="F66" i="3"/>
  <c r="T69" i="15" l="1"/>
  <c r="S69" i="15"/>
  <c r="T68" i="15"/>
  <c r="S68" i="15"/>
  <c r="L67" i="15"/>
  <c r="K68" i="15"/>
  <c r="T69" i="14"/>
  <c r="S69" i="14"/>
  <c r="L67" i="14"/>
  <c r="K68" i="14"/>
  <c r="T69" i="13"/>
  <c r="S69" i="13"/>
  <c r="L67" i="13"/>
  <c r="K68" i="13"/>
  <c r="T68" i="13"/>
  <c r="S68" i="13"/>
  <c r="T69" i="12"/>
  <c r="S69" i="12"/>
  <c r="T68" i="12"/>
  <c r="S68" i="12"/>
  <c r="L67" i="12"/>
  <c r="K68" i="12"/>
  <c r="T69" i="11"/>
  <c r="S69" i="11"/>
  <c r="T68" i="11"/>
  <c r="S68" i="11"/>
  <c r="K68" i="11"/>
  <c r="L67" i="11"/>
  <c r="U69" i="10"/>
  <c r="T69" i="10"/>
  <c r="K67" i="10"/>
  <c r="L66" i="10"/>
  <c r="H69" i="9"/>
  <c r="W69" i="9"/>
  <c r="G69" i="9"/>
  <c r="V69" i="9"/>
  <c r="F69" i="9"/>
  <c r="R69" i="9" s="1"/>
  <c r="I69" i="9"/>
  <c r="J69" i="9" s="1"/>
  <c r="K67" i="9"/>
  <c r="L66" i="9"/>
  <c r="U67" i="9"/>
  <c r="T67" i="9"/>
  <c r="S68" i="9"/>
  <c r="I69" i="8"/>
  <c r="J69" i="8" s="1"/>
  <c r="H69" i="8"/>
  <c r="W69" i="8"/>
  <c r="G69" i="8"/>
  <c r="V69" i="8"/>
  <c r="F69" i="8"/>
  <c r="R69" i="8" s="1"/>
  <c r="S69" i="8" s="1"/>
  <c r="U67" i="8"/>
  <c r="T67" i="8"/>
  <c r="K67" i="8"/>
  <c r="L66" i="8"/>
  <c r="S68" i="8"/>
  <c r="U68" i="7"/>
  <c r="T68" i="7"/>
  <c r="K67" i="7"/>
  <c r="L66" i="7"/>
  <c r="I69" i="7"/>
  <c r="J69" i="7" s="1"/>
  <c r="H69" i="7"/>
  <c r="W69" i="7"/>
  <c r="G69" i="7"/>
  <c r="V69" i="7"/>
  <c r="F69" i="7"/>
  <c r="R69" i="7" s="1"/>
  <c r="S69" i="7" s="1"/>
  <c r="W63" i="3"/>
  <c r="U65" i="3"/>
  <c r="T65" i="3"/>
  <c r="V67" i="3"/>
  <c r="W67" i="3"/>
  <c r="G66" i="3"/>
  <c r="H66" i="3" s="1"/>
  <c r="I66" i="3" s="1"/>
  <c r="J66" i="3" s="1"/>
  <c r="K66" i="3" s="1"/>
  <c r="L66" i="3" s="1"/>
  <c r="R66" i="3"/>
  <c r="S66" i="3" s="1"/>
  <c r="F67" i="3"/>
  <c r="E68" i="3"/>
  <c r="L68" i="15" l="1"/>
  <c r="K69" i="15"/>
  <c r="L69" i="15" s="1"/>
  <c r="C19" i="15" s="1"/>
  <c r="L68" i="14"/>
  <c r="K69" i="14"/>
  <c r="L69" i="14" s="1"/>
  <c r="C19" i="14" s="1"/>
  <c r="L68" i="13"/>
  <c r="K69" i="13"/>
  <c r="L69" i="13" s="1"/>
  <c r="C19" i="13" s="1"/>
  <c r="L68" i="12"/>
  <c r="K69" i="12"/>
  <c r="L69" i="12" s="1"/>
  <c r="C19" i="12" s="1"/>
  <c r="K69" i="11"/>
  <c r="L69" i="11" s="1"/>
  <c r="C19" i="11" s="1"/>
  <c r="L68" i="11"/>
  <c r="K68" i="10"/>
  <c r="L67" i="10"/>
  <c r="U68" i="9"/>
  <c r="T68" i="9"/>
  <c r="K68" i="9"/>
  <c r="L67" i="9"/>
  <c r="S69" i="9"/>
  <c r="U69" i="8"/>
  <c r="T69" i="8"/>
  <c r="U68" i="8"/>
  <c r="T68" i="8"/>
  <c r="K68" i="8"/>
  <c r="L67" i="8"/>
  <c r="U69" i="7"/>
  <c r="T69" i="7"/>
  <c r="K68" i="7"/>
  <c r="L67" i="7"/>
  <c r="W68" i="3"/>
  <c r="V68" i="3"/>
  <c r="T66" i="3"/>
  <c r="U66" i="3"/>
  <c r="G67" i="3"/>
  <c r="H67" i="3" s="1"/>
  <c r="I67" i="3" s="1"/>
  <c r="J67" i="3" s="1"/>
  <c r="K67" i="3" s="1"/>
  <c r="L67" i="3" s="1"/>
  <c r="R67" i="3"/>
  <c r="E69" i="3"/>
  <c r="F68" i="3"/>
  <c r="O4" i="15" l="1"/>
  <c r="O4" i="14"/>
  <c r="O4" i="13"/>
  <c r="O4" i="12"/>
  <c r="O4" i="11"/>
  <c r="K69" i="10"/>
  <c r="L69" i="10" s="1"/>
  <c r="C19" i="10" s="1"/>
  <c r="L68" i="10"/>
  <c r="K69" i="9"/>
  <c r="L69" i="9" s="1"/>
  <c r="C19" i="9" s="1"/>
  <c r="L68" i="9"/>
  <c r="T69" i="9"/>
  <c r="U69" i="9"/>
  <c r="K69" i="8"/>
  <c r="L69" i="8" s="1"/>
  <c r="C19" i="8" s="1"/>
  <c r="L68" i="8"/>
  <c r="K69" i="7"/>
  <c r="L69" i="7" s="1"/>
  <c r="C19" i="7" s="1"/>
  <c r="L68" i="7"/>
  <c r="S67" i="3"/>
  <c r="W69" i="3"/>
  <c r="V69" i="3"/>
  <c r="G68" i="3"/>
  <c r="H68" i="3" s="1"/>
  <c r="I68" i="3" s="1"/>
  <c r="J68" i="3" s="1"/>
  <c r="K68" i="3" s="1"/>
  <c r="L68" i="3" s="1"/>
  <c r="R68" i="3"/>
  <c r="F69" i="3"/>
  <c r="AK4" i="15" l="1"/>
  <c r="M5" i="15"/>
  <c r="P4" i="15"/>
  <c r="AJ4" i="15" s="1"/>
  <c r="AK4" i="14"/>
  <c r="M5" i="14"/>
  <c r="P4" i="14"/>
  <c r="AJ4" i="14" s="1"/>
  <c r="AK4" i="13"/>
  <c r="M5" i="13"/>
  <c r="P4" i="13"/>
  <c r="AJ4" i="13" s="1"/>
  <c r="M5" i="12"/>
  <c r="AK4" i="12"/>
  <c r="P4" i="12"/>
  <c r="AJ4" i="12" s="1"/>
  <c r="M5" i="11"/>
  <c r="N5" i="11" s="1"/>
  <c r="AK4" i="11"/>
  <c r="P4" i="11"/>
  <c r="AJ4" i="11" s="1"/>
  <c r="O4" i="10"/>
  <c r="O4" i="9"/>
  <c r="O4" i="8"/>
  <c r="AL4" i="8" s="1"/>
  <c r="O4" i="7"/>
  <c r="T67" i="3"/>
  <c r="U67" i="3"/>
  <c r="S68" i="3"/>
  <c r="G69" i="3"/>
  <c r="H69" i="3" s="1"/>
  <c r="I69" i="3" s="1"/>
  <c r="J69" i="3" s="1"/>
  <c r="K69" i="3" s="1"/>
  <c r="L69" i="3" s="1"/>
  <c r="R69" i="3"/>
  <c r="S69" i="3" s="1"/>
  <c r="W5" i="15" l="1"/>
  <c r="X5" i="15"/>
  <c r="W5" i="14"/>
  <c r="N5" i="14" s="1"/>
  <c r="X5" i="14"/>
  <c r="W5" i="13"/>
  <c r="N5" i="13" s="1"/>
  <c r="X5" i="13"/>
  <c r="W5" i="12"/>
  <c r="X5" i="12"/>
  <c r="X5" i="11"/>
  <c r="W5" i="11"/>
  <c r="AL4" i="10"/>
  <c r="M5" i="10"/>
  <c r="N5" i="10" s="1"/>
  <c r="P4" i="10"/>
  <c r="AK4" i="10" s="1"/>
  <c r="AL4" i="9"/>
  <c r="M5" i="9"/>
  <c r="P4" i="9"/>
  <c r="AK4" i="9" s="1"/>
  <c r="M5" i="8"/>
  <c r="P4" i="8"/>
  <c r="AK4" i="8" s="1"/>
  <c r="AL4" i="7"/>
  <c r="M5" i="7"/>
  <c r="P4" i="7"/>
  <c r="AK4" i="7" s="1"/>
  <c r="C19" i="3"/>
  <c r="U69" i="3"/>
  <c r="T69" i="3"/>
  <c r="U68" i="3"/>
  <c r="T68" i="3"/>
  <c r="N5" i="15" l="1"/>
  <c r="AL5" i="14"/>
  <c r="O5" i="14"/>
  <c r="P5" i="14" s="1"/>
  <c r="AJ5" i="14" s="1"/>
  <c r="AL5" i="13"/>
  <c r="O5" i="13"/>
  <c r="N5" i="12"/>
  <c r="AL5" i="12" s="1"/>
  <c r="AL5" i="11"/>
  <c r="O5" i="11"/>
  <c r="P5" i="11" s="1"/>
  <c r="AJ5" i="11" s="1"/>
  <c r="Q5" i="10"/>
  <c r="AN5" i="10" s="1"/>
  <c r="Y5" i="10"/>
  <c r="X5" i="10"/>
  <c r="Q5" i="9"/>
  <c r="AN5" i="9" s="1"/>
  <c r="N5" i="9"/>
  <c r="X5" i="9"/>
  <c r="Y5" i="9"/>
  <c r="Q5" i="8"/>
  <c r="AN5" i="8" s="1"/>
  <c r="N5" i="8"/>
  <c r="AM5" i="8" s="1"/>
  <c r="X5" i="8"/>
  <c r="Y5" i="8"/>
  <c r="Q5" i="7"/>
  <c r="AN5" i="7" s="1"/>
  <c r="N5" i="7"/>
  <c r="Y5" i="7"/>
  <c r="X5" i="7"/>
  <c r="O4" i="3"/>
  <c r="AL5" i="15" l="1"/>
  <c r="O5" i="15"/>
  <c r="AK5" i="14"/>
  <c r="M6" i="14"/>
  <c r="AK5" i="13"/>
  <c r="M6" i="13"/>
  <c r="P5" i="13"/>
  <c r="AJ5" i="13" s="1"/>
  <c r="O5" i="12"/>
  <c r="M6" i="12" s="1"/>
  <c r="N6" i="12" s="1"/>
  <c r="AK5" i="11"/>
  <c r="M6" i="11"/>
  <c r="N6" i="11" s="1"/>
  <c r="AM5" i="10"/>
  <c r="O5" i="10"/>
  <c r="P5" i="10" s="1"/>
  <c r="AK5" i="10" s="1"/>
  <c r="AM5" i="9"/>
  <c r="O5" i="9"/>
  <c r="M5" i="3"/>
  <c r="Q5" i="3" s="1"/>
  <c r="AN5" i="3" s="1"/>
  <c r="AL4" i="3"/>
  <c r="O5" i="8"/>
  <c r="AM5" i="7"/>
  <c r="O5" i="7"/>
  <c r="P5" i="7" s="1"/>
  <c r="AK5" i="7" s="1"/>
  <c r="Y5" i="3"/>
  <c r="X5" i="3"/>
  <c r="N5" i="3"/>
  <c r="AM5" i="3" s="1"/>
  <c r="P4" i="3"/>
  <c r="AK4" i="3" s="1"/>
  <c r="P5" i="8" l="1"/>
  <c r="AK5" i="8" s="1"/>
  <c r="AL5" i="8"/>
  <c r="P5" i="12"/>
  <c r="AJ5" i="12" s="1"/>
  <c r="AK5" i="12"/>
  <c r="AK5" i="15"/>
  <c r="M6" i="15"/>
  <c r="P5" i="15"/>
  <c r="AJ5" i="15" s="1"/>
  <c r="N6" i="14"/>
  <c r="X6" i="14"/>
  <c r="W6" i="14"/>
  <c r="N6" i="13"/>
  <c r="X6" i="13"/>
  <c r="W6" i="13"/>
  <c r="W6" i="12"/>
  <c r="X6" i="12"/>
  <c r="W6" i="11"/>
  <c r="X6" i="11"/>
  <c r="AL5" i="10"/>
  <c r="M6" i="10"/>
  <c r="AL5" i="9"/>
  <c r="M6" i="9"/>
  <c r="P5" i="9"/>
  <c r="AK5" i="9" s="1"/>
  <c r="M6" i="8"/>
  <c r="N6" i="8" s="1"/>
  <c r="AM6" i="8" s="1"/>
  <c r="AL5" i="7"/>
  <c r="M6" i="7"/>
  <c r="N6" i="7" s="1"/>
  <c r="O5" i="3"/>
  <c r="N6" i="15" l="1"/>
  <c r="W6" i="15"/>
  <c r="X6" i="15"/>
  <c r="AL6" i="14"/>
  <c r="O6" i="14"/>
  <c r="P6" i="14" s="1"/>
  <c r="AJ6" i="14" s="1"/>
  <c r="AL6" i="13"/>
  <c r="O6" i="13"/>
  <c r="AL6" i="12"/>
  <c r="O6" i="12"/>
  <c r="AL6" i="11"/>
  <c r="Q6" i="10"/>
  <c r="AN6" i="10" s="1"/>
  <c r="X6" i="10"/>
  <c r="Y6" i="10"/>
  <c r="Q6" i="9"/>
  <c r="AN6" i="9" s="1"/>
  <c r="X6" i="9"/>
  <c r="N6" i="9" s="1"/>
  <c r="Y6" i="9"/>
  <c r="M6" i="3"/>
  <c r="AL5" i="3"/>
  <c r="Q6" i="8"/>
  <c r="AN6" i="8" s="1"/>
  <c r="X6" i="8"/>
  <c r="Y6" i="8"/>
  <c r="Q6" i="7"/>
  <c r="AN6" i="7" s="1"/>
  <c r="X6" i="7"/>
  <c r="Y6" i="7"/>
  <c r="Y6" i="3"/>
  <c r="X6" i="3"/>
  <c r="P5" i="3"/>
  <c r="AK5" i="3" s="1"/>
  <c r="Q6" i="3" l="1"/>
  <c r="AN6" i="3" s="1"/>
  <c r="N6" i="3"/>
  <c r="AM6" i="3" s="1"/>
  <c r="AL6" i="15"/>
  <c r="O6" i="15"/>
  <c r="AK6" i="14"/>
  <c r="M7" i="14"/>
  <c r="AK6" i="13"/>
  <c r="M7" i="13"/>
  <c r="P6" i="13"/>
  <c r="AJ6" i="13" s="1"/>
  <c r="AK6" i="12"/>
  <c r="M7" i="12"/>
  <c r="N7" i="12" s="1"/>
  <c r="P6" i="12"/>
  <c r="AJ6" i="12" s="1"/>
  <c r="O6" i="11"/>
  <c r="M7" i="11" s="1"/>
  <c r="N7" i="11" s="1"/>
  <c r="N6" i="10"/>
  <c r="AM6" i="10" s="1"/>
  <c r="O6" i="10"/>
  <c r="P6" i="10" s="1"/>
  <c r="AK6" i="10" s="1"/>
  <c r="AM6" i="9"/>
  <c r="O6" i="9"/>
  <c r="P6" i="9" s="1"/>
  <c r="AK6" i="9" s="1"/>
  <c r="O6" i="8"/>
  <c r="AL6" i="8" s="1"/>
  <c r="AM6" i="7"/>
  <c r="O6" i="7"/>
  <c r="O6" i="3"/>
  <c r="AK6" i="15" l="1"/>
  <c r="M7" i="15"/>
  <c r="P6" i="15"/>
  <c r="AJ6" i="15" s="1"/>
  <c r="N7" i="14"/>
  <c r="W7" i="14"/>
  <c r="X7" i="14"/>
  <c r="N7" i="13"/>
  <c r="W7" i="13"/>
  <c r="X7" i="13"/>
  <c r="W7" i="12"/>
  <c r="X7" i="12"/>
  <c r="P6" i="11"/>
  <c r="AJ6" i="11" s="1"/>
  <c r="AK6" i="11"/>
  <c r="W7" i="11"/>
  <c r="X7" i="11"/>
  <c r="AL6" i="10"/>
  <c r="M7" i="10"/>
  <c r="N7" i="10" s="1"/>
  <c r="AL6" i="9"/>
  <c r="M7" i="9"/>
  <c r="P6" i="3"/>
  <c r="AK6" i="3" s="1"/>
  <c r="AL6" i="3"/>
  <c r="M7" i="8"/>
  <c r="N7" i="8" s="1"/>
  <c r="AM7" i="8" s="1"/>
  <c r="P6" i="8"/>
  <c r="AK6" i="8" s="1"/>
  <c r="AL6" i="7"/>
  <c r="M7" i="7"/>
  <c r="N7" i="7" s="1"/>
  <c r="P6" i="7"/>
  <c r="AK6" i="7" s="1"/>
  <c r="M7" i="3"/>
  <c r="N7" i="15" l="1"/>
  <c r="W7" i="15"/>
  <c r="X7" i="15"/>
  <c r="AL7" i="14"/>
  <c r="O7" i="14"/>
  <c r="P7" i="14" s="1"/>
  <c r="AJ7" i="14" s="1"/>
  <c r="AL7" i="13"/>
  <c r="O7" i="13"/>
  <c r="AL7" i="12"/>
  <c r="O7" i="12"/>
  <c r="AL7" i="11"/>
  <c r="O7" i="11"/>
  <c r="Q7" i="10"/>
  <c r="AN7" i="10" s="1"/>
  <c r="X7" i="10"/>
  <c r="Y7" i="10"/>
  <c r="Q7" i="9"/>
  <c r="AN7" i="9" s="1"/>
  <c r="N7" i="9"/>
  <c r="X7" i="9"/>
  <c r="Y7" i="9"/>
  <c r="Q7" i="3"/>
  <c r="AN7" i="3" s="1"/>
  <c r="N7" i="3"/>
  <c r="Q7" i="8"/>
  <c r="AN7" i="8" s="1"/>
  <c r="Y7" i="8"/>
  <c r="X7" i="8"/>
  <c r="Q7" i="7"/>
  <c r="AN7" i="7" s="1"/>
  <c r="X7" i="7"/>
  <c r="Y7" i="7"/>
  <c r="Y7" i="3"/>
  <c r="AM7" i="3"/>
  <c r="X7" i="3"/>
  <c r="AL7" i="15" l="1"/>
  <c r="O7" i="15"/>
  <c r="P7" i="15" s="1"/>
  <c r="AJ7" i="15" s="1"/>
  <c r="AK7" i="14"/>
  <c r="M8" i="14"/>
  <c r="AK7" i="13"/>
  <c r="M8" i="13"/>
  <c r="P7" i="13"/>
  <c r="AJ7" i="13" s="1"/>
  <c r="AK7" i="12"/>
  <c r="M8" i="12"/>
  <c r="N8" i="12" s="1"/>
  <c r="P7" i="12"/>
  <c r="AJ7" i="12" s="1"/>
  <c r="AK7" i="11"/>
  <c r="M8" i="11"/>
  <c r="N8" i="11" s="1"/>
  <c r="P7" i="11"/>
  <c r="AJ7" i="11" s="1"/>
  <c r="AM7" i="10"/>
  <c r="O7" i="10"/>
  <c r="AM7" i="9"/>
  <c r="O7" i="9"/>
  <c r="O7" i="8"/>
  <c r="AL7" i="8" s="1"/>
  <c r="AM7" i="7"/>
  <c r="O7" i="7"/>
  <c r="O7" i="3"/>
  <c r="AK7" i="15" l="1"/>
  <c r="M8" i="15"/>
  <c r="W8" i="14"/>
  <c r="N8" i="14" s="1"/>
  <c r="X8" i="14"/>
  <c r="N8" i="13"/>
  <c r="W8" i="13"/>
  <c r="X8" i="13"/>
  <c r="X8" i="12"/>
  <c r="W8" i="12"/>
  <c r="W8" i="11"/>
  <c r="X8" i="11"/>
  <c r="AL7" i="10"/>
  <c r="M8" i="10"/>
  <c r="N8" i="10" s="1"/>
  <c r="P7" i="10"/>
  <c r="AK7" i="10" s="1"/>
  <c r="AL7" i="9"/>
  <c r="M8" i="9"/>
  <c r="P7" i="9"/>
  <c r="AK7" i="9" s="1"/>
  <c r="M8" i="3"/>
  <c r="AL7" i="3"/>
  <c r="P7" i="8"/>
  <c r="AK7" i="8" s="1"/>
  <c r="M8" i="8"/>
  <c r="N8" i="8" s="1"/>
  <c r="AM8" i="8" s="1"/>
  <c r="AL7" i="7"/>
  <c r="M8" i="7"/>
  <c r="N8" i="7" s="1"/>
  <c r="P7" i="7"/>
  <c r="AK7" i="7" s="1"/>
  <c r="P7" i="3"/>
  <c r="AK7" i="3" s="1"/>
  <c r="Y8" i="3"/>
  <c r="X8" i="3"/>
  <c r="N8" i="15" l="1"/>
  <c r="X8" i="15"/>
  <c r="W8" i="15"/>
  <c r="AL8" i="14"/>
  <c r="O8" i="14"/>
  <c r="P8" i="14" s="1"/>
  <c r="AJ8" i="14" s="1"/>
  <c r="AL8" i="13"/>
  <c r="O8" i="13"/>
  <c r="AL8" i="12"/>
  <c r="O8" i="12"/>
  <c r="P8" i="12" s="1"/>
  <c r="AJ8" i="12" s="1"/>
  <c r="AL8" i="11"/>
  <c r="O8" i="11"/>
  <c r="P8" i="11" s="1"/>
  <c r="AJ8" i="11" s="1"/>
  <c r="Q8" i="10"/>
  <c r="AN8" i="10" s="1"/>
  <c r="X8" i="10"/>
  <c r="Y8" i="10"/>
  <c r="Q8" i="9"/>
  <c r="AN8" i="9" s="1"/>
  <c r="N8" i="9"/>
  <c r="Y8" i="9"/>
  <c r="X8" i="9"/>
  <c r="Q8" i="3"/>
  <c r="AN8" i="3" s="1"/>
  <c r="N8" i="3"/>
  <c r="AM8" i="3" s="1"/>
  <c r="Q8" i="8"/>
  <c r="AN8" i="8" s="1"/>
  <c r="X8" i="8"/>
  <c r="Y8" i="8"/>
  <c r="Q8" i="7"/>
  <c r="AN8" i="7" s="1"/>
  <c r="Y8" i="7"/>
  <c r="X8" i="7"/>
  <c r="AL8" i="15" l="1"/>
  <c r="O8" i="15"/>
  <c r="AK8" i="14"/>
  <c r="M9" i="14"/>
  <c r="AK8" i="13"/>
  <c r="M9" i="13"/>
  <c r="P8" i="13"/>
  <c r="AJ8" i="13" s="1"/>
  <c r="AK8" i="12"/>
  <c r="M9" i="12"/>
  <c r="N9" i="12" s="1"/>
  <c r="AK8" i="11"/>
  <c r="M9" i="11"/>
  <c r="N9" i="11" s="1"/>
  <c r="AM8" i="10"/>
  <c r="O8" i="10"/>
  <c r="P8" i="10" s="1"/>
  <c r="AK8" i="10" s="1"/>
  <c r="AM8" i="9"/>
  <c r="O8" i="9"/>
  <c r="P8" i="9" s="1"/>
  <c r="AK8" i="9" s="1"/>
  <c r="O8" i="3"/>
  <c r="AL8" i="3" s="1"/>
  <c r="O8" i="8"/>
  <c r="AL8" i="8" s="1"/>
  <c r="AM8" i="7"/>
  <c r="O8" i="7"/>
  <c r="P8" i="3" l="1"/>
  <c r="AK8" i="3" s="1"/>
  <c r="M9" i="3"/>
  <c r="AK8" i="15"/>
  <c r="M9" i="15"/>
  <c r="P8" i="15"/>
  <c r="AJ8" i="15" s="1"/>
  <c r="N9" i="14"/>
  <c r="W9" i="14"/>
  <c r="X9" i="14"/>
  <c r="N9" i="13"/>
  <c r="W9" i="13"/>
  <c r="X9" i="13"/>
  <c r="W9" i="12"/>
  <c r="X9" i="12"/>
  <c r="W9" i="11"/>
  <c r="X9" i="11"/>
  <c r="AL8" i="10"/>
  <c r="M9" i="10"/>
  <c r="N9" i="10" s="1"/>
  <c r="AL8" i="9"/>
  <c r="M9" i="9"/>
  <c r="Q9" i="3"/>
  <c r="AN9" i="3" s="1"/>
  <c r="N9" i="3"/>
  <c r="X9" i="3"/>
  <c r="Y9" i="3"/>
  <c r="M9" i="8"/>
  <c r="N9" i="8" s="1"/>
  <c r="AM9" i="8" s="1"/>
  <c r="P8" i="8"/>
  <c r="AK8" i="8" s="1"/>
  <c r="AL8" i="7"/>
  <c r="M9" i="7"/>
  <c r="N9" i="7" s="1"/>
  <c r="P8" i="7"/>
  <c r="AK8" i="7" s="1"/>
  <c r="O9" i="3"/>
  <c r="AM9" i="3" l="1"/>
  <c r="W9" i="15"/>
  <c r="N9" i="15" s="1"/>
  <c r="X9" i="15"/>
  <c r="AL9" i="14"/>
  <c r="O9" i="14"/>
  <c r="P9" i="14" s="1"/>
  <c r="AJ9" i="14" s="1"/>
  <c r="AL9" i="13"/>
  <c r="O9" i="13"/>
  <c r="AL9" i="12"/>
  <c r="O9" i="12"/>
  <c r="AL9" i="11"/>
  <c r="O9" i="11"/>
  <c r="P9" i="11" s="1"/>
  <c r="AJ9" i="11" s="1"/>
  <c r="Q9" i="10"/>
  <c r="AN9" i="10" s="1"/>
  <c r="X9" i="10"/>
  <c r="Y9" i="10"/>
  <c r="Q9" i="9"/>
  <c r="AN9" i="9" s="1"/>
  <c r="N9" i="9"/>
  <c r="X9" i="9"/>
  <c r="Y9" i="9"/>
  <c r="M10" i="3"/>
  <c r="X10" i="3" s="1"/>
  <c r="AL9" i="3"/>
  <c r="Q9" i="8"/>
  <c r="AN9" i="8" s="1"/>
  <c r="Y9" i="8"/>
  <c r="X9" i="8"/>
  <c r="Q9" i="7"/>
  <c r="AN9" i="7" s="1"/>
  <c r="X9" i="7"/>
  <c r="Y9" i="7"/>
  <c r="P9" i="3"/>
  <c r="AK9" i="3" s="1"/>
  <c r="Y10" i="3" l="1"/>
  <c r="AL9" i="15"/>
  <c r="O9" i="15"/>
  <c r="AK9" i="14"/>
  <c r="M10" i="14"/>
  <c r="AK9" i="13"/>
  <c r="M10" i="13"/>
  <c r="P9" i="13"/>
  <c r="AJ9" i="13" s="1"/>
  <c r="AK9" i="12"/>
  <c r="M10" i="12"/>
  <c r="N10" i="12" s="1"/>
  <c r="P9" i="12"/>
  <c r="AJ9" i="12" s="1"/>
  <c r="AK9" i="11"/>
  <c r="M10" i="11"/>
  <c r="N10" i="11" s="1"/>
  <c r="AM9" i="10"/>
  <c r="O9" i="10"/>
  <c r="AM9" i="9"/>
  <c r="O9" i="9"/>
  <c r="Q10" i="3"/>
  <c r="AN10" i="3" s="1"/>
  <c r="N10" i="3"/>
  <c r="AM10" i="3" s="1"/>
  <c r="O9" i="8"/>
  <c r="AL9" i="8" s="1"/>
  <c r="AM9" i="7"/>
  <c r="O9" i="7"/>
  <c r="AK9" i="15" l="1"/>
  <c r="M10" i="15"/>
  <c r="P9" i="15"/>
  <c r="AJ9" i="15" s="1"/>
  <c r="N10" i="14"/>
  <c r="W10" i="14"/>
  <c r="X10" i="14"/>
  <c r="N10" i="13"/>
  <c r="W10" i="13"/>
  <c r="X10" i="13"/>
  <c r="W10" i="12"/>
  <c r="X10" i="12"/>
  <c r="W10" i="11"/>
  <c r="X10" i="11"/>
  <c r="AL9" i="10"/>
  <c r="M10" i="10"/>
  <c r="N10" i="10" s="1"/>
  <c r="P9" i="10"/>
  <c r="AK9" i="10" s="1"/>
  <c r="AL9" i="9"/>
  <c r="M10" i="9"/>
  <c r="P9" i="9"/>
  <c r="AK9" i="9" s="1"/>
  <c r="O10" i="3"/>
  <c r="M11" i="3" s="1"/>
  <c r="P9" i="8"/>
  <c r="AK9" i="8" s="1"/>
  <c r="M10" i="8"/>
  <c r="N10" i="8" s="1"/>
  <c r="AM10" i="8" s="1"/>
  <c r="AL9" i="7"/>
  <c r="M10" i="7"/>
  <c r="N10" i="7" s="1"/>
  <c r="P9" i="7"/>
  <c r="AK9" i="7" s="1"/>
  <c r="P10" i="3"/>
  <c r="AK10" i="3" s="1"/>
  <c r="X11" i="3" l="1"/>
  <c r="Y11" i="3"/>
  <c r="AL10" i="3"/>
  <c r="N10" i="15"/>
  <c r="W10" i="15"/>
  <c r="X10" i="15"/>
  <c r="AL10" i="14"/>
  <c r="O10" i="14"/>
  <c r="AL10" i="13"/>
  <c r="O10" i="13"/>
  <c r="P10" i="13" s="1"/>
  <c r="AJ10" i="13" s="1"/>
  <c r="AL10" i="12"/>
  <c r="O10" i="12"/>
  <c r="AL10" i="11"/>
  <c r="O10" i="11"/>
  <c r="Q10" i="10"/>
  <c r="AN10" i="10" s="1"/>
  <c r="X10" i="10"/>
  <c r="Y10" i="10"/>
  <c r="Q10" i="9"/>
  <c r="AN10" i="9" s="1"/>
  <c r="N10" i="9"/>
  <c r="X10" i="9"/>
  <c r="Y10" i="9"/>
  <c r="Q11" i="3"/>
  <c r="AN11" i="3" s="1"/>
  <c r="N11" i="3"/>
  <c r="AM11" i="3" s="1"/>
  <c r="Q10" i="8"/>
  <c r="AN10" i="8" s="1"/>
  <c r="Y10" i="8"/>
  <c r="X10" i="8"/>
  <c r="Q10" i="7"/>
  <c r="AN10" i="7" s="1"/>
  <c r="X10" i="7"/>
  <c r="Y10" i="7"/>
  <c r="AL10" i="15" l="1"/>
  <c r="O10" i="15"/>
  <c r="AK10" i="14"/>
  <c r="M11" i="14"/>
  <c r="P10" i="14"/>
  <c r="AJ10" i="14" s="1"/>
  <c r="AK10" i="13"/>
  <c r="M11" i="13"/>
  <c r="AK10" i="12"/>
  <c r="M11" i="12"/>
  <c r="P10" i="12"/>
  <c r="AJ10" i="12" s="1"/>
  <c r="AK10" i="11"/>
  <c r="M11" i="11"/>
  <c r="N11" i="11" s="1"/>
  <c r="P10" i="11"/>
  <c r="AJ10" i="11" s="1"/>
  <c r="AM10" i="10"/>
  <c r="O10" i="10"/>
  <c r="P10" i="10" s="1"/>
  <c r="AK10" i="10" s="1"/>
  <c r="AM10" i="9"/>
  <c r="O10" i="9"/>
  <c r="P10" i="9" s="1"/>
  <c r="AK10" i="9" s="1"/>
  <c r="O11" i="3"/>
  <c r="AL11" i="3" s="1"/>
  <c r="M12" i="3"/>
  <c r="O10" i="8"/>
  <c r="AL10" i="8" s="1"/>
  <c r="AM10" i="7"/>
  <c r="O10" i="7"/>
  <c r="P11" i="3"/>
  <c r="AK11" i="3" s="1"/>
  <c r="Y12" i="3"/>
  <c r="AK10" i="15" l="1"/>
  <c r="M11" i="15"/>
  <c r="P10" i="15"/>
  <c r="AJ10" i="15" s="1"/>
  <c r="N11" i="14"/>
  <c r="W11" i="14"/>
  <c r="X11" i="14"/>
  <c r="N11" i="13"/>
  <c r="W11" i="13"/>
  <c r="X11" i="13"/>
  <c r="X11" i="12"/>
  <c r="W11" i="12"/>
  <c r="N11" i="12" s="1"/>
  <c r="W11" i="11"/>
  <c r="X11" i="11"/>
  <c r="AL10" i="10"/>
  <c r="M11" i="10"/>
  <c r="N11" i="10" s="1"/>
  <c r="AL10" i="9"/>
  <c r="M11" i="9"/>
  <c r="Q12" i="3"/>
  <c r="AN12" i="3" s="1"/>
  <c r="N12" i="3"/>
  <c r="AM12" i="3" s="1"/>
  <c r="X12" i="3"/>
  <c r="M11" i="8"/>
  <c r="N11" i="8" s="1"/>
  <c r="AM11" i="8" s="1"/>
  <c r="P10" i="8"/>
  <c r="AK10" i="8" s="1"/>
  <c r="AL10" i="7"/>
  <c r="M11" i="7"/>
  <c r="N11" i="7" s="1"/>
  <c r="P10" i="7"/>
  <c r="AK10" i="7" s="1"/>
  <c r="N11" i="15" l="1"/>
  <c r="W11" i="15"/>
  <c r="X11" i="15"/>
  <c r="AL11" i="14"/>
  <c r="O11" i="14"/>
  <c r="P11" i="14" s="1"/>
  <c r="AJ11" i="14" s="1"/>
  <c r="AL11" i="13"/>
  <c r="O11" i="13"/>
  <c r="AL11" i="12"/>
  <c r="O11" i="12"/>
  <c r="AL11" i="11"/>
  <c r="O11" i="11"/>
  <c r="Q11" i="10"/>
  <c r="AN11" i="10" s="1"/>
  <c r="X11" i="10"/>
  <c r="Y11" i="10"/>
  <c r="Q11" i="9"/>
  <c r="AN11" i="9" s="1"/>
  <c r="N11" i="9"/>
  <c r="X11" i="9"/>
  <c r="Y11" i="9"/>
  <c r="O12" i="3"/>
  <c r="AL12" i="3" s="1"/>
  <c r="M13" i="3"/>
  <c r="Y13" i="3" s="1"/>
  <c r="Q11" i="8"/>
  <c r="AN11" i="8" s="1"/>
  <c r="Y11" i="8"/>
  <c r="X11" i="8"/>
  <c r="Q11" i="7"/>
  <c r="AN11" i="7" s="1"/>
  <c r="X11" i="7"/>
  <c r="Y11" i="7"/>
  <c r="P12" i="3"/>
  <c r="AK12" i="3" s="1"/>
  <c r="X13" i="3"/>
  <c r="AL11" i="15" l="1"/>
  <c r="O11" i="15"/>
  <c r="P11" i="15" s="1"/>
  <c r="AJ11" i="15" s="1"/>
  <c r="AK11" i="14"/>
  <c r="M12" i="14"/>
  <c r="AK11" i="13"/>
  <c r="M12" i="13"/>
  <c r="P11" i="13"/>
  <c r="AJ11" i="13" s="1"/>
  <c r="AK11" i="12"/>
  <c r="M12" i="12"/>
  <c r="N12" i="12" s="1"/>
  <c r="P11" i="12"/>
  <c r="AJ11" i="12" s="1"/>
  <c r="AK11" i="11"/>
  <c r="M12" i="11"/>
  <c r="N12" i="11" s="1"/>
  <c r="P11" i="11"/>
  <c r="AJ11" i="11" s="1"/>
  <c r="AM11" i="10"/>
  <c r="O11" i="10"/>
  <c r="AM11" i="9"/>
  <c r="O11" i="9"/>
  <c r="Q13" i="3"/>
  <c r="AN13" i="3" s="1"/>
  <c r="N13" i="3"/>
  <c r="AM13" i="3" s="1"/>
  <c r="O11" i="8"/>
  <c r="AL11" i="8" s="1"/>
  <c r="AM11" i="7"/>
  <c r="O11" i="7"/>
  <c r="AK11" i="15" l="1"/>
  <c r="M12" i="15"/>
  <c r="N12" i="14"/>
  <c r="W12" i="14"/>
  <c r="X12" i="14"/>
  <c r="N12" i="13"/>
  <c r="W12" i="13"/>
  <c r="X12" i="13"/>
  <c r="W12" i="12"/>
  <c r="X12" i="12"/>
  <c r="W12" i="11"/>
  <c r="X12" i="11"/>
  <c r="AL11" i="10"/>
  <c r="M12" i="10"/>
  <c r="N12" i="10" s="1"/>
  <c r="P11" i="10"/>
  <c r="AK11" i="10" s="1"/>
  <c r="AL11" i="9"/>
  <c r="M12" i="9"/>
  <c r="P11" i="9"/>
  <c r="AK11" i="9" s="1"/>
  <c r="O13" i="3"/>
  <c r="AL13" i="3" s="1"/>
  <c r="M14" i="3"/>
  <c r="X14" i="3" s="1"/>
  <c r="M12" i="8"/>
  <c r="N12" i="8" s="1"/>
  <c r="AM12" i="8" s="1"/>
  <c r="P11" i="8"/>
  <c r="AK11" i="8" s="1"/>
  <c r="AL11" i="7"/>
  <c r="M12" i="7"/>
  <c r="N12" i="7" s="1"/>
  <c r="P11" i="7"/>
  <c r="AK11" i="7" s="1"/>
  <c r="P13" i="3"/>
  <c r="AK13" i="3" s="1"/>
  <c r="Y14" i="3" l="1"/>
  <c r="N12" i="15"/>
  <c r="W12" i="15"/>
  <c r="X12" i="15"/>
  <c r="AL12" i="14"/>
  <c r="O12" i="14"/>
  <c r="P12" i="14" s="1"/>
  <c r="AJ12" i="14" s="1"/>
  <c r="AL12" i="13"/>
  <c r="O12" i="13"/>
  <c r="AL12" i="12"/>
  <c r="O12" i="12"/>
  <c r="P12" i="12" s="1"/>
  <c r="AJ12" i="12" s="1"/>
  <c r="AL12" i="11"/>
  <c r="O12" i="11"/>
  <c r="Q12" i="10"/>
  <c r="AN12" i="10" s="1"/>
  <c r="X12" i="10"/>
  <c r="Y12" i="10"/>
  <c r="Q12" i="9"/>
  <c r="AN12" i="9" s="1"/>
  <c r="N12" i="9"/>
  <c r="X12" i="9"/>
  <c r="Y12" i="9"/>
  <c r="Q14" i="3"/>
  <c r="AN14" i="3" s="1"/>
  <c r="N14" i="3"/>
  <c r="AM14" i="3" s="1"/>
  <c r="Q12" i="8"/>
  <c r="AN12" i="8" s="1"/>
  <c r="X12" i="8"/>
  <c r="Y12" i="8"/>
  <c r="Q12" i="7"/>
  <c r="AN12" i="7" s="1"/>
  <c r="X12" i="7"/>
  <c r="Y12" i="7"/>
  <c r="AL12" i="15" l="1"/>
  <c r="O12" i="15"/>
  <c r="AK12" i="14"/>
  <c r="M13" i="14"/>
  <c r="AK12" i="13"/>
  <c r="M13" i="13"/>
  <c r="P12" i="13"/>
  <c r="AJ12" i="13" s="1"/>
  <c r="AK12" i="12"/>
  <c r="M13" i="12"/>
  <c r="N13" i="12" s="1"/>
  <c r="AK12" i="11"/>
  <c r="M13" i="11"/>
  <c r="N13" i="11" s="1"/>
  <c r="P12" i="11"/>
  <c r="AJ12" i="11" s="1"/>
  <c r="AM12" i="10"/>
  <c r="O12" i="10"/>
  <c r="P12" i="10" s="1"/>
  <c r="AK12" i="10" s="1"/>
  <c r="AM12" i="9"/>
  <c r="O12" i="9"/>
  <c r="P12" i="9" s="1"/>
  <c r="AK12" i="9" s="1"/>
  <c r="O14" i="3"/>
  <c r="M15" i="3" s="1"/>
  <c r="O12" i="8"/>
  <c r="AL12" i="8" s="1"/>
  <c r="AM12" i="7"/>
  <c r="O12" i="7"/>
  <c r="P14" i="3" l="1"/>
  <c r="AK14" i="3" s="1"/>
  <c r="AL14" i="3"/>
  <c r="AK12" i="15"/>
  <c r="M13" i="15"/>
  <c r="P12" i="15"/>
  <c r="AJ12" i="15" s="1"/>
  <c r="N13" i="14"/>
  <c r="W13" i="14"/>
  <c r="X13" i="14"/>
  <c r="N13" i="13"/>
  <c r="X13" i="13"/>
  <c r="W13" i="13"/>
  <c r="W13" i="12"/>
  <c r="X13" i="12"/>
  <c r="X13" i="11"/>
  <c r="W13" i="11"/>
  <c r="AL12" i="10"/>
  <c r="M13" i="10"/>
  <c r="N13" i="10" s="1"/>
  <c r="AL12" i="9"/>
  <c r="M13" i="9"/>
  <c r="Q15" i="3"/>
  <c r="AN15" i="3" s="1"/>
  <c r="N15" i="3"/>
  <c r="AM15" i="3" s="1"/>
  <c r="X15" i="3"/>
  <c r="Y15" i="3"/>
  <c r="M13" i="8"/>
  <c r="N13" i="8" s="1"/>
  <c r="AM13" i="8" s="1"/>
  <c r="P12" i="8"/>
  <c r="AK12" i="8" s="1"/>
  <c r="AL12" i="7"/>
  <c r="M13" i="7"/>
  <c r="N13" i="7" s="1"/>
  <c r="P12" i="7"/>
  <c r="AK12" i="7" s="1"/>
  <c r="O15" i="3"/>
  <c r="N13" i="15" l="1"/>
  <c r="X13" i="15"/>
  <c r="W13" i="15"/>
  <c r="AL13" i="14"/>
  <c r="O13" i="14"/>
  <c r="P13" i="14" s="1"/>
  <c r="AJ13" i="14" s="1"/>
  <c r="AL13" i="13"/>
  <c r="O13" i="13"/>
  <c r="P13" i="13" s="1"/>
  <c r="AJ13" i="13" s="1"/>
  <c r="AL13" i="12"/>
  <c r="O13" i="12"/>
  <c r="AL13" i="11"/>
  <c r="O13" i="11"/>
  <c r="P13" i="11" s="1"/>
  <c r="AJ13" i="11" s="1"/>
  <c r="Q13" i="10"/>
  <c r="AN13" i="10" s="1"/>
  <c r="X13" i="10"/>
  <c r="Y13" i="10"/>
  <c r="Q13" i="9"/>
  <c r="AN13" i="9" s="1"/>
  <c r="N13" i="9"/>
  <c r="Y13" i="9"/>
  <c r="X13" i="9"/>
  <c r="M16" i="3"/>
  <c r="AL15" i="3"/>
  <c r="Q13" i="8"/>
  <c r="AN13" i="8" s="1"/>
  <c r="X13" i="8"/>
  <c r="Y13" i="8"/>
  <c r="Q13" i="7"/>
  <c r="AN13" i="7" s="1"/>
  <c r="X13" i="7"/>
  <c r="Y13" i="7"/>
  <c r="P15" i="3"/>
  <c r="AK15" i="3" s="1"/>
  <c r="Y16" i="3"/>
  <c r="X16" i="3"/>
  <c r="AL13" i="15" l="1"/>
  <c r="O13" i="15"/>
  <c r="AK13" i="14"/>
  <c r="M14" i="14"/>
  <c r="AK13" i="13"/>
  <c r="M14" i="13"/>
  <c r="AK13" i="12"/>
  <c r="M14" i="12"/>
  <c r="N14" i="12" s="1"/>
  <c r="P13" i="12"/>
  <c r="AJ13" i="12" s="1"/>
  <c r="AK13" i="11"/>
  <c r="M14" i="11"/>
  <c r="N14" i="11" s="1"/>
  <c r="AM13" i="10"/>
  <c r="O13" i="10"/>
  <c r="P13" i="10" s="1"/>
  <c r="AK13" i="10" s="1"/>
  <c r="AM13" i="9"/>
  <c r="O13" i="9"/>
  <c r="Q16" i="3"/>
  <c r="AN16" i="3" s="1"/>
  <c r="N16" i="3"/>
  <c r="AM16" i="3" s="1"/>
  <c r="O13" i="8"/>
  <c r="AL13" i="8" s="1"/>
  <c r="AM13" i="7"/>
  <c r="O13" i="7"/>
  <c r="AK13" i="15" l="1"/>
  <c r="M14" i="15"/>
  <c r="P13" i="15"/>
  <c r="AJ13" i="15" s="1"/>
  <c r="N14" i="14"/>
  <c r="X14" i="14"/>
  <c r="W14" i="14"/>
  <c r="N14" i="13"/>
  <c r="W14" i="13"/>
  <c r="X14" i="13"/>
  <c r="X14" i="12"/>
  <c r="W14" i="12"/>
  <c r="W14" i="11"/>
  <c r="X14" i="11"/>
  <c r="AL13" i="10"/>
  <c r="M14" i="10"/>
  <c r="N14" i="10" s="1"/>
  <c r="AL13" i="9"/>
  <c r="M14" i="9"/>
  <c r="P13" i="9"/>
  <c r="AK13" i="9" s="1"/>
  <c r="O16" i="3"/>
  <c r="AL16" i="3" s="1"/>
  <c r="M17" i="3"/>
  <c r="X17" i="3" s="1"/>
  <c r="M14" i="8"/>
  <c r="N14" i="8" s="1"/>
  <c r="AM14" i="8" s="1"/>
  <c r="P13" i="8"/>
  <c r="AK13" i="8" s="1"/>
  <c r="AL13" i="7"/>
  <c r="M14" i="7"/>
  <c r="N14" i="7" s="1"/>
  <c r="P13" i="7"/>
  <c r="AK13" i="7" s="1"/>
  <c r="Y17" i="3" l="1"/>
  <c r="P16" i="3"/>
  <c r="AK16" i="3" s="1"/>
  <c r="N14" i="15"/>
  <c r="W14" i="15"/>
  <c r="X14" i="15"/>
  <c r="AL14" i="14"/>
  <c r="O14" i="14"/>
  <c r="P14" i="14" s="1"/>
  <c r="AJ14" i="14" s="1"/>
  <c r="AL14" i="13"/>
  <c r="O14" i="13"/>
  <c r="AL14" i="12"/>
  <c r="O14" i="12"/>
  <c r="AL14" i="11"/>
  <c r="O14" i="11"/>
  <c r="P14" i="11" s="1"/>
  <c r="AJ14" i="11" s="1"/>
  <c r="Q14" i="10"/>
  <c r="AN14" i="10" s="1"/>
  <c r="X14" i="10"/>
  <c r="Y14" i="10"/>
  <c r="Q14" i="9"/>
  <c r="AN14" i="9" s="1"/>
  <c r="N14" i="9"/>
  <c r="X14" i="9"/>
  <c r="Y14" i="9"/>
  <c r="Q17" i="3"/>
  <c r="AN17" i="3" s="1"/>
  <c r="N17" i="3"/>
  <c r="AM17" i="3" s="1"/>
  <c r="Q14" i="8"/>
  <c r="AN14" i="8" s="1"/>
  <c r="X14" i="8"/>
  <c r="Y14" i="8"/>
  <c r="Q14" i="7"/>
  <c r="AN14" i="7" s="1"/>
  <c r="Y14" i="7"/>
  <c r="X14" i="7"/>
  <c r="AL14" i="15" l="1"/>
  <c r="O14" i="15"/>
  <c r="AK14" i="14"/>
  <c r="M15" i="14"/>
  <c r="AK14" i="13"/>
  <c r="M15" i="13"/>
  <c r="P14" i="13"/>
  <c r="AJ14" i="13" s="1"/>
  <c r="AK14" i="12"/>
  <c r="M15" i="12"/>
  <c r="N15" i="12" s="1"/>
  <c r="P14" i="12"/>
  <c r="AJ14" i="12" s="1"/>
  <c r="AK14" i="11"/>
  <c r="M15" i="11"/>
  <c r="N15" i="11" s="1"/>
  <c r="AM14" i="10"/>
  <c r="O14" i="10"/>
  <c r="P14" i="10" s="1"/>
  <c r="AK14" i="10" s="1"/>
  <c r="AM14" i="9"/>
  <c r="O14" i="9"/>
  <c r="O17" i="3"/>
  <c r="AL17" i="3" s="1"/>
  <c r="O14" i="8"/>
  <c r="AL14" i="8" s="1"/>
  <c r="AM14" i="7"/>
  <c r="O14" i="7"/>
  <c r="P17" i="3"/>
  <c r="AK17" i="3" s="1"/>
  <c r="M18" i="3" l="1"/>
  <c r="AK14" i="15"/>
  <c r="M15" i="15"/>
  <c r="P14" i="15"/>
  <c r="AJ14" i="15" s="1"/>
  <c r="N15" i="14"/>
  <c r="W15" i="14"/>
  <c r="X15" i="14"/>
  <c r="N15" i="13"/>
  <c r="W15" i="13"/>
  <c r="X15" i="13"/>
  <c r="X15" i="12"/>
  <c r="W15" i="12"/>
  <c r="W15" i="11"/>
  <c r="X15" i="11"/>
  <c r="AL14" i="10"/>
  <c r="M15" i="10"/>
  <c r="N15" i="10" s="1"/>
  <c r="AL14" i="9"/>
  <c r="M15" i="9"/>
  <c r="P14" i="9"/>
  <c r="AK14" i="9" s="1"/>
  <c r="X18" i="3"/>
  <c r="M15" i="8"/>
  <c r="N15" i="8" s="1"/>
  <c r="AM15" i="8" s="1"/>
  <c r="P14" i="8"/>
  <c r="AK14" i="8" s="1"/>
  <c r="AL14" i="7"/>
  <c r="M15" i="7"/>
  <c r="N15" i="7" s="1"/>
  <c r="P14" i="7"/>
  <c r="AK14" i="7" s="1"/>
  <c r="Q18" i="3" l="1"/>
  <c r="AN18" i="3" s="1"/>
  <c r="Y18" i="3"/>
  <c r="N15" i="15"/>
  <c r="W15" i="15"/>
  <c r="X15" i="15"/>
  <c r="AL15" i="14"/>
  <c r="O15" i="14"/>
  <c r="P15" i="14" s="1"/>
  <c r="AJ15" i="14" s="1"/>
  <c r="AL15" i="13"/>
  <c r="O15" i="13"/>
  <c r="AL15" i="12"/>
  <c r="O15" i="12"/>
  <c r="AL15" i="11"/>
  <c r="O15" i="11"/>
  <c r="P15" i="11" s="1"/>
  <c r="AJ15" i="11" s="1"/>
  <c r="Q15" i="10"/>
  <c r="AN15" i="10" s="1"/>
  <c r="X15" i="10"/>
  <c r="Y15" i="10"/>
  <c r="Q15" i="9"/>
  <c r="AN15" i="9" s="1"/>
  <c r="N15" i="9"/>
  <c r="X15" i="9"/>
  <c r="Y15" i="9"/>
  <c r="N18" i="3"/>
  <c r="O18" i="3" s="1"/>
  <c r="M19" i="3" s="1"/>
  <c r="Q15" i="8"/>
  <c r="AN15" i="8" s="1"/>
  <c r="Y15" i="8"/>
  <c r="X15" i="8"/>
  <c r="Q15" i="7"/>
  <c r="AN15" i="7" s="1"/>
  <c r="X15" i="7"/>
  <c r="Y15" i="7"/>
  <c r="AL15" i="15" l="1"/>
  <c r="O15" i="15"/>
  <c r="AK15" i="14"/>
  <c r="M16" i="14"/>
  <c r="AK15" i="13"/>
  <c r="M16" i="13"/>
  <c r="P15" i="13"/>
  <c r="AJ15" i="13" s="1"/>
  <c r="AK15" i="12"/>
  <c r="M16" i="12"/>
  <c r="N16" i="12" s="1"/>
  <c r="P15" i="12"/>
  <c r="AJ15" i="12" s="1"/>
  <c r="AK15" i="11"/>
  <c r="M16" i="11"/>
  <c r="N16" i="11" s="1"/>
  <c r="AM15" i="10"/>
  <c r="O15" i="10"/>
  <c r="P15" i="10" s="1"/>
  <c r="AK15" i="10" s="1"/>
  <c r="AM15" i="9"/>
  <c r="O15" i="9"/>
  <c r="Q19" i="3"/>
  <c r="AN19" i="3" s="1"/>
  <c r="N19" i="3"/>
  <c r="AM19" i="3" s="1"/>
  <c r="P18" i="3"/>
  <c r="AK18" i="3" s="1"/>
  <c r="AL18" i="3"/>
  <c r="AM18" i="3"/>
  <c r="X19" i="3"/>
  <c r="Y19" i="3"/>
  <c r="O15" i="8"/>
  <c r="AL15" i="8" s="1"/>
  <c r="AM15" i="7"/>
  <c r="O15" i="7"/>
  <c r="AK15" i="15" l="1"/>
  <c r="M16" i="15"/>
  <c r="P15" i="15"/>
  <c r="AJ15" i="15" s="1"/>
  <c r="N16" i="14"/>
  <c r="X16" i="14"/>
  <c r="W16" i="14"/>
  <c r="N16" i="13"/>
  <c r="X16" i="13"/>
  <c r="W16" i="13"/>
  <c r="W16" i="12"/>
  <c r="X16" i="12"/>
  <c r="W16" i="11"/>
  <c r="X16" i="11"/>
  <c r="AL15" i="10"/>
  <c r="M16" i="10"/>
  <c r="N16" i="10" s="1"/>
  <c r="AL15" i="9"/>
  <c r="M16" i="9"/>
  <c r="P15" i="9"/>
  <c r="AK15" i="9" s="1"/>
  <c r="O19" i="3"/>
  <c r="M20" i="3" s="1"/>
  <c r="M16" i="8"/>
  <c r="N16" i="8" s="1"/>
  <c r="AM16" i="8" s="1"/>
  <c r="P15" i="8"/>
  <c r="AK15" i="8" s="1"/>
  <c r="AL15" i="7"/>
  <c r="M16" i="7"/>
  <c r="N16" i="7" s="1"/>
  <c r="P15" i="7"/>
  <c r="AK15" i="7" s="1"/>
  <c r="P19" i="3"/>
  <c r="AK19" i="3" s="1"/>
  <c r="AL19" i="3" l="1"/>
  <c r="N16" i="15"/>
  <c r="W16" i="15"/>
  <c r="X16" i="15"/>
  <c r="AL16" i="14"/>
  <c r="O16" i="14"/>
  <c r="AL16" i="13"/>
  <c r="O16" i="13"/>
  <c r="AL16" i="12"/>
  <c r="O16" i="12"/>
  <c r="AL16" i="11"/>
  <c r="O16" i="11"/>
  <c r="P16" i="11" s="1"/>
  <c r="AJ16" i="11" s="1"/>
  <c r="Q16" i="10"/>
  <c r="AN16" i="10" s="1"/>
  <c r="Y16" i="10"/>
  <c r="X16" i="10"/>
  <c r="Q16" i="9"/>
  <c r="AN16" i="9" s="1"/>
  <c r="N16" i="9"/>
  <c r="X16" i="9"/>
  <c r="Y16" i="9"/>
  <c r="Q20" i="3"/>
  <c r="AN20" i="3" s="1"/>
  <c r="N20" i="3"/>
  <c r="AM20" i="3" s="1"/>
  <c r="Q16" i="8"/>
  <c r="AN16" i="8" s="1"/>
  <c r="Y16" i="8"/>
  <c r="X16" i="8"/>
  <c r="X20" i="3"/>
  <c r="Q16" i="7"/>
  <c r="AN16" i="7" s="1"/>
  <c r="X16" i="7"/>
  <c r="Y16" i="7"/>
  <c r="Y20" i="3"/>
  <c r="AL16" i="15" l="1"/>
  <c r="O16" i="15"/>
  <c r="AK16" i="14"/>
  <c r="M17" i="14"/>
  <c r="P16" i="14"/>
  <c r="AJ16" i="14" s="1"/>
  <c r="AK16" i="13"/>
  <c r="M17" i="13"/>
  <c r="P16" i="13"/>
  <c r="AJ16" i="13" s="1"/>
  <c r="AK16" i="12"/>
  <c r="M17" i="12"/>
  <c r="P16" i="12"/>
  <c r="AJ16" i="12" s="1"/>
  <c r="AK16" i="11"/>
  <c r="M17" i="11"/>
  <c r="N17" i="11" s="1"/>
  <c r="AM16" i="10"/>
  <c r="O16" i="10"/>
  <c r="AM16" i="9"/>
  <c r="O16" i="9"/>
  <c r="P16" i="9" s="1"/>
  <c r="AK16" i="9" s="1"/>
  <c r="O20" i="3"/>
  <c r="O16" i="8"/>
  <c r="AL16" i="8" s="1"/>
  <c r="AM16" i="7"/>
  <c r="O16" i="7"/>
  <c r="M21" i="3"/>
  <c r="AL20" i="3"/>
  <c r="P20" i="3"/>
  <c r="AK20" i="3" s="1"/>
  <c r="AK16" i="15" l="1"/>
  <c r="M17" i="15"/>
  <c r="P16" i="15"/>
  <c r="AJ16" i="15" s="1"/>
  <c r="W17" i="14"/>
  <c r="N17" i="14" s="1"/>
  <c r="X17" i="14"/>
  <c r="W17" i="13"/>
  <c r="N17" i="13" s="1"/>
  <c r="X17" i="13"/>
  <c r="W17" i="12"/>
  <c r="N17" i="12" s="1"/>
  <c r="X17" i="12"/>
  <c r="W17" i="11"/>
  <c r="X17" i="11"/>
  <c r="AL16" i="10"/>
  <c r="M17" i="10"/>
  <c r="N17" i="10" s="1"/>
  <c r="P16" i="10"/>
  <c r="AK16" i="10" s="1"/>
  <c r="AL16" i="9"/>
  <c r="M17" i="9"/>
  <c r="Q21" i="3"/>
  <c r="AN21" i="3" s="1"/>
  <c r="N21" i="3"/>
  <c r="M17" i="8"/>
  <c r="N17" i="8" s="1"/>
  <c r="AM17" i="8" s="1"/>
  <c r="P16" i="8"/>
  <c r="AK16" i="8" s="1"/>
  <c r="X21" i="3"/>
  <c r="AL16" i="7"/>
  <c r="M17" i="7"/>
  <c r="N17" i="7" s="1"/>
  <c r="P16" i="7"/>
  <c r="AK16" i="7" s="1"/>
  <c r="Y21" i="3"/>
  <c r="W17" i="15" l="1"/>
  <c r="X17" i="15"/>
  <c r="AL17" i="14"/>
  <c r="O17" i="14"/>
  <c r="P17" i="14" s="1"/>
  <c r="AJ17" i="14" s="1"/>
  <c r="AL17" i="13"/>
  <c r="O17" i="13"/>
  <c r="AL17" i="12"/>
  <c r="O17" i="12"/>
  <c r="AL17" i="11"/>
  <c r="O17" i="11"/>
  <c r="P17" i="11" s="1"/>
  <c r="AJ17" i="11" s="1"/>
  <c r="Q17" i="10"/>
  <c r="AN17" i="10" s="1"/>
  <c r="X17" i="10"/>
  <c r="Y17" i="10"/>
  <c r="Q17" i="9"/>
  <c r="AN17" i="9" s="1"/>
  <c r="N17" i="9"/>
  <c r="Y17" i="9"/>
  <c r="X17" i="9"/>
  <c r="AM21" i="3"/>
  <c r="Q17" i="8"/>
  <c r="AN17" i="8" s="1"/>
  <c r="X17" i="8"/>
  <c r="Y17" i="8"/>
  <c r="O21" i="3"/>
  <c r="AL21" i="3" s="1"/>
  <c r="Q17" i="7"/>
  <c r="AN17" i="7" s="1"/>
  <c r="Y17" i="7"/>
  <c r="X17" i="7"/>
  <c r="N17" i="15" l="1"/>
  <c r="AK17" i="14"/>
  <c r="M18" i="14"/>
  <c r="AK17" i="13"/>
  <c r="M18" i="13"/>
  <c r="P17" i="13"/>
  <c r="AJ17" i="13" s="1"/>
  <c r="AK17" i="12"/>
  <c r="M18" i="12"/>
  <c r="N18" i="12" s="1"/>
  <c r="P17" i="12"/>
  <c r="AJ17" i="12" s="1"/>
  <c r="AK17" i="11"/>
  <c r="M18" i="11"/>
  <c r="N18" i="11" s="1"/>
  <c r="AM17" i="10"/>
  <c r="O17" i="10"/>
  <c r="P17" i="10" s="1"/>
  <c r="AK17" i="10" s="1"/>
  <c r="AM17" i="9"/>
  <c r="O17" i="9"/>
  <c r="P17" i="9" s="1"/>
  <c r="AK17" i="9" s="1"/>
  <c r="M22" i="3"/>
  <c r="N22" i="3" s="1"/>
  <c r="P21" i="3"/>
  <c r="AK21" i="3" s="1"/>
  <c r="O17" i="8"/>
  <c r="AL17" i="8" s="1"/>
  <c r="AM17" i="7"/>
  <c r="O17" i="7"/>
  <c r="X22" i="3" l="1"/>
  <c r="Y22" i="3"/>
  <c r="AL17" i="15"/>
  <c r="O17" i="15"/>
  <c r="P17" i="15" s="1"/>
  <c r="AJ17" i="15" s="1"/>
  <c r="N18" i="14"/>
  <c r="W18" i="14"/>
  <c r="X18" i="14"/>
  <c r="N18" i="13"/>
  <c r="W18" i="13"/>
  <c r="X18" i="13"/>
  <c r="W18" i="12"/>
  <c r="X18" i="12"/>
  <c r="X18" i="11"/>
  <c r="W18" i="11"/>
  <c r="AL17" i="10"/>
  <c r="M18" i="10"/>
  <c r="AL17" i="9"/>
  <c r="M18" i="9"/>
  <c r="N18" i="9" s="1"/>
  <c r="Q22" i="3"/>
  <c r="AN22" i="3" s="1"/>
  <c r="M18" i="8"/>
  <c r="P17" i="8"/>
  <c r="AK17" i="8" s="1"/>
  <c r="AL17" i="7"/>
  <c r="M18" i="7"/>
  <c r="P17" i="7"/>
  <c r="AK17" i="7" s="1"/>
  <c r="AK17" i="15" l="1"/>
  <c r="M18" i="15"/>
  <c r="AL18" i="14"/>
  <c r="O18" i="14"/>
  <c r="P18" i="14" s="1"/>
  <c r="AJ18" i="14" s="1"/>
  <c r="AL18" i="13"/>
  <c r="O18" i="13"/>
  <c r="AL18" i="12"/>
  <c r="AL18" i="11"/>
  <c r="O18" i="11"/>
  <c r="P18" i="11" s="1"/>
  <c r="AJ18" i="11" s="1"/>
  <c r="Q18" i="10"/>
  <c r="AN18" i="10" s="1"/>
  <c r="X18" i="10"/>
  <c r="N18" i="10" s="1"/>
  <c r="Y18" i="10"/>
  <c r="Q18" i="9"/>
  <c r="AN18" i="9" s="1"/>
  <c r="Y18" i="9"/>
  <c r="X18" i="9"/>
  <c r="AM22" i="3"/>
  <c r="O22" i="3"/>
  <c r="Q18" i="8"/>
  <c r="AN18" i="8" s="1"/>
  <c r="X18" i="8"/>
  <c r="N18" i="8" s="1"/>
  <c r="AM18" i="8" s="1"/>
  <c r="Y18" i="8"/>
  <c r="Q18" i="7"/>
  <c r="AN18" i="7" s="1"/>
  <c r="Y18" i="7"/>
  <c r="X18" i="7"/>
  <c r="N18" i="7" s="1"/>
  <c r="N18" i="15" l="1"/>
  <c r="W18" i="15"/>
  <c r="X18" i="15"/>
  <c r="AK18" i="14"/>
  <c r="M19" i="14"/>
  <c r="AK18" i="13"/>
  <c r="M19" i="13"/>
  <c r="P18" i="13"/>
  <c r="AJ18" i="13" s="1"/>
  <c r="O18" i="12"/>
  <c r="P18" i="12" s="1"/>
  <c r="AJ18" i="12" s="1"/>
  <c r="AK18" i="11"/>
  <c r="M19" i="11"/>
  <c r="N19" i="11" s="1"/>
  <c r="AM18" i="10"/>
  <c r="AM18" i="9"/>
  <c r="O18" i="9"/>
  <c r="AL22" i="3"/>
  <c r="P22" i="3"/>
  <c r="AK22" i="3" s="1"/>
  <c r="M23" i="3"/>
  <c r="N23" i="3" s="1"/>
  <c r="AM18" i="7"/>
  <c r="AL18" i="15" l="1"/>
  <c r="O18" i="15"/>
  <c r="N19" i="14"/>
  <c r="W19" i="14"/>
  <c r="X19" i="14"/>
  <c r="N19" i="13"/>
  <c r="W19" i="13"/>
  <c r="X19" i="13"/>
  <c r="M19" i="12"/>
  <c r="N19" i="12" s="1"/>
  <c r="AK18" i="12"/>
  <c r="W19" i="11"/>
  <c r="X19" i="11"/>
  <c r="O18" i="10"/>
  <c r="AL18" i="10" s="1"/>
  <c r="AL18" i="9"/>
  <c r="M19" i="9"/>
  <c r="P18" i="9"/>
  <c r="AK18" i="9" s="1"/>
  <c r="Q23" i="3"/>
  <c r="AN23" i="3" s="1"/>
  <c r="X23" i="3"/>
  <c r="Y23" i="3"/>
  <c r="O18" i="8"/>
  <c r="AL18" i="8" s="1"/>
  <c r="O18" i="7"/>
  <c r="AL18" i="7" s="1"/>
  <c r="AK18" i="15" l="1"/>
  <c r="M19" i="15"/>
  <c r="P18" i="15"/>
  <c r="AJ18" i="15" s="1"/>
  <c r="AL19" i="14"/>
  <c r="O19" i="14"/>
  <c r="P19" i="14" s="1"/>
  <c r="AJ19" i="14" s="1"/>
  <c r="AL19" i="13"/>
  <c r="O19" i="13"/>
  <c r="X19" i="12"/>
  <c r="W19" i="12"/>
  <c r="AL19" i="12"/>
  <c r="O19" i="12"/>
  <c r="P19" i="12" s="1"/>
  <c r="AJ19" i="12" s="1"/>
  <c r="AL19" i="11"/>
  <c r="O19" i="11"/>
  <c r="P19" i="11" s="1"/>
  <c r="AJ19" i="11" s="1"/>
  <c r="P18" i="10"/>
  <c r="AK18" i="10" s="1"/>
  <c r="M19" i="10"/>
  <c r="N19" i="10" s="1"/>
  <c r="Q19" i="10"/>
  <c r="AN19" i="10" s="1"/>
  <c r="Q19" i="9"/>
  <c r="AN19" i="9" s="1"/>
  <c r="N19" i="9"/>
  <c r="X19" i="9"/>
  <c r="Y19" i="9"/>
  <c r="AM23" i="3"/>
  <c r="O23" i="3"/>
  <c r="P23" i="3" s="1"/>
  <c r="AK23" i="3" s="1"/>
  <c r="P18" i="8"/>
  <c r="AK18" i="8" s="1"/>
  <c r="M19" i="8"/>
  <c r="N19" i="8" s="1"/>
  <c r="AM19" i="8" s="1"/>
  <c r="Q19" i="8"/>
  <c r="AN19" i="8" s="1"/>
  <c r="M19" i="7"/>
  <c r="N19" i="7" s="1"/>
  <c r="P18" i="7"/>
  <c r="AK18" i="7" s="1"/>
  <c r="X19" i="7" l="1"/>
  <c r="Y19" i="7"/>
  <c r="Y19" i="10"/>
  <c r="N19" i="15"/>
  <c r="W19" i="15"/>
  <c r="X19" i="15"/>
  <c r="AK19" i="14"/>
  <c r="M20" i="14"/>
  <c r="AK19" i="13"/>
  <c r="M20" i="13"/>
  <c r="P19" i="13"/>
  <c r="AJ19" i="13" s="1"/>
  <c r="AK19" i="12"/>
  <c r="M20" i="12"/>
  <c r="N20" i="12" s="1"/>
  <c r="AK19" i="11"/>
  <c r="M20" i="11"/>
  <c r="N20" i="11" s="1"/>
  <c r="X19" i="10"/>
  <c r="AM19" i="10"/>
  <c r="O19" i="10"/>
  <c r="P19" i="10" s="1"/>
  <c r="AK19" i="10" s="1"/>
  <c r="AM19" i="9"/>
  <c r="O19" i="9"/>
  <c r="P19" i="9" s="1"/>
  <c r="AK19" i="9" s="1"/>
  <c r="AL23" i="3"/>
  <c r="M24" i="3"/>
  <c r="N24" i="3" s="1"/>
  <c r="Q19" i="7"/>
  <c r="AN19" i="7" s="1"/>
  <c r="X19" i="8"/>
  <c r="Y19" i="8"/>
  <c r="O19" i="8"/>
  <c r="AL19" i="8" s="1"/>
  <c r="AM19" i="7"/>
  <c r="O19" i="7"/>
  <c r="AL19" i="15" l="1"/>
  <c r="O19" i="15"/>
  <c r="W20" i="14"/>
  <c r="N20" i="14" s="1"/>
  <c r="X20" i="14"/>
  <c r="N20" i="13"/>
  <c r="X20" i="13"/>
  <c r="W20" i="13"/>
  <c r="W20" i="12"/>
  <c r="X20" i="12"/>
  <c r="X20" i="11"/>
  <c r="W20" i="11"/>
  <c r="AL19" i="10"/>
  <c r="M20" i="10"/>
  <c r="N20" i="10" s="1"/>
  <c r="AL19" i="9"/>
  <c r="M20" i="9"/>
  <c r="Q24" i="3"/>
  <c r="AN24" i="3" s="1"/>
  <c r="Y24" i="3"/>
  <c r="X24" i="3"/>
  <c r="M20" i="8"/>
  <c r="N20" i="8" s="1"/>
  <c r="AM20" i="8" s="1"/>
  <c r="P19" i="8"/>
  <c r="AK19" i="8" s="1"/>
  <c r="AL19" i="7"/>
  <c r="M20" i="7"/>
  <c r="N20" i="7" s="1"/>
  <c r="P19" i="7"/>
  <c r="AK19" i="7" s="1"/>
  <c r="AK19" i="15" l="1"/>
  <c r="M20" i="15"/>
  <c r="P19" i="15"/>
  <c r="AJ19" i="15" s="1"/>
  <c r="AL20" i="14"/>
  <c r="O20" i="14"/>
  <c r="P20" i="14" s="1"/>
  <c r="AJ20" i="14" s="1"/>
  <c r="AL20" i="13"/>
  <c r="O20" i="13"/>
  <c r="AL20" i="12"/>
  <c r="O20" i="12"/>
  <c r="AL20" i="11"/>
  <c r="O20" i="11"/>
  <c r="P20" i="11" s="1"/>
  <c r="AJ20" i="11" s="1"/>
  <c r="Q20" i="10"/>
  <c r="AN20" i="10" s="1"/>
  <c r="Y20" i="10"/>
  <c r="X20" i="10"/>
  <c r="Q20" i="9"/>
  <c r="AN20" i="9" s="1"/>
  <c r="N20" i="9"/>
  <c r="X20" i="9"/>
  <c r="Y20" i="9"/>
  <c r="AM24" i="3"/>
  <c r="O24" i="3"/>
  <c r="Q20" i="8"/>
  <c r="AN20" i="8" s="1"/>
  <c r="X20" i="8"/>
  <c r="Y20" i="8"/>
  <c r="Q20" i="7"/>
  <c r="AN20" i="7" s="1"/>
  <c r="X20" i="7"/>
  <c r="Y20" i="7"/>
  <c r="N20" i="15" l="1"/>
  <c r="W20" i="15"/>
  <c r="X20" i="15"/>
  <c r="AK20" i="14"/>
  <c r="M21" i="14"/>
  <c r="AK20" i="13"/>
  <c r="M21" i="13"/>
  <c r="P20" i="13"/>
  <c r="AJ20" i="13" s="1"/>
  <c r="AK20" i="12"/>
  <c r="M21" i="12"/>
  <c r="N21" i="12" s="1"/>
  <c r="P20" i="12"/>
  <c r="AJ20" i="12" s="1"/>
  <c r="AK20" i="11"/>
  <c r="M21" i="11"/>
  <c r="N21" i="11" s="1"/>
  <c r="AM20" i="10"/>
  <c r="O20" i="10"/>
  <c r="P20" i="10" s="1"/>
  <c r="AK20" i="10" s="1"/>
  <c r="AM20" i="9"/>
  <c r="O20" i="9"/>
  <c r="AL24" i="3"/>
  <c r="M25" i="3"/>
  <c r="N25" i="3" s="1"/>
  <c r="P24" i="3"/>
  <c r="AK24" i="3" s="1"/>
  <c r="O20" i="8"/>
  <c r="AL20" i="8" s="1"/>
  <c r="AM20" i="7"/>
  <c r="O20" i="7"/>
  <c r="AL20" i="15" l="1"/>
  <c r="O20" i="15"/>
  <c r="N21" i="14"/>
  <c r="W21" i="14"/>
  <c r="X21" i="14"/>
  <c r="N21" i="13"/>
  <c r="W21" i="13"/>
  <c r="X21" i="13"/>
  <c r="W21" i="12"/>
  <c r="X21" i="12"/>
  <c r="X21" i="11"/>
  <c r="W21" i="11"/>
  <c r="AL20" i="10"/>
  <c r="M21" i="10"/>
  <c r="N21" i="10" s="1"/>
  <c r="AL20" i="9"/>
  <c r="M21" i="9"/>
  <c r="P20" i="9"/>
  <c r="AK20" i="9" s="1"/>
  <c r="Q25" i="3"/>
  <c r="AN25" i="3" s="1"/>
  <c r="X25" i="3"/>
  <c r="Y25" i="3"/>
  <c r="M21" i="8"/>
  <c r="N21" i="8" s="1"/>
  <c r="AM21" i="8" s="1"/>
  <c r="P20" i="8"/>
  <c r="AK20" i="8" s="1"/>
  <c r="AL20" i="7"/>
  <c r="M21" i="7"/>
  <c r="N21" i="7" s="1"/>
  <c r="P20" i="7"/>
  <c r="AK20" i="7" s="1"/>
  <c r="AK20" i="15" l="1"/>
  <c r="M21" i="15"/>
  <c r="P20" i="15"/>
  <c r="AJ20" i="15" s="1"/>
  <c r="AL21" i="14"/>
  <c r="O21" i="14"/>
  <c r="AL21" i="13"/>
  <c r="O21" i="13"/>
  <c r="AL21" i="12"/>
  <c r="O21" i="12"/>
  <c r="AL21" i="11"/>
  <c r="O21" i="11"/>
  <c r="Q21" i="10"/>
  <c r="AN21" i="10" s="1"/>
  <c r="X21" i="10"/>
  <c r="Y21" i="10"/>
  <c r="Q21" i="9"/>
  <c r="AN21" i="9" s="1"/>
  <c r="N21" i="9"/>
  <c r="X21" i="9"/>
  <c r="Y21" i="9"/>
  <c r="AM25" i="3"/>
  <c r="O25" i="3"/>
  <c r="P25" i="3" s="1"/>
  <c r="AK25" i="3" s="1"/>
  <c r="Q21" i="8"/>
  <c r="AN21" i="8" s="1"/>
  <c r="X21" i="8"/>
  <c r="Y21" i="8"/>
  <c r="Q21" i="7"/>
  <c r="AN21" i="7" s="1"/>
  <c r="X21" i="7"/>
  <c r="Y21" i="7"/>
  <c r="W21" i="15" l="1"/>
  <c r="N21" i="15" s="1"/>
  <c r="X21" i="15"/>
  <c r="AK21" i="14"/>
  <c r="M22" i="14"/>
  <c r="P21" i="14"/>
  <c r="AJ21" i="14" s="1"/>
  <c r="AK21" i="13"/>
  <c r="M22" i="13"/>
  <c r="P21" i="13"/>
  <c r="AJ21" i="13" s="1"/>
  <c r="AK21" i="12"/>
  <c r="M22" i="12"/>
  <c r="N22" i="12" s="1"/>
  <c r="P21" i="12"/>
  <c r="AJ21" i="12" s="1"/>
  <c r="AK21" i="11"/>
  <c r="M22" i="11"/>
  <c r="N22" i="11" s="1"/>
  <c r="P21" i="11"/>
  <c r="AJ21" i="11" s="1"/>
  <c r="AM21" i="10"/>
  <c r="O21" i="10"/>
  <c r="P21" i="10" s="1"/>
  <c r="AK21" i="10" s="1"/>
  <c r="AM21" i="9"/>
  <c r="O21" i="9"/>
  <c r="P21" i="9" s="1"/>
  <c r="AK21" i="9" s="1"/>
  <c r="AL25" i="3"/>
  <c r="M26" i="3"/>
  <c r="N26" i="3" s="1"/>
  <c r="O21" i="8"/>
  <c r="AL21" i="8" s="1"/>
  <c r="AM21" i="7"/>
  <c r="O21" i="7"/>
  <c r="P21" i="7" s="1"/>
  <c r="AK21" i="7" s="1"/>
  <c r="AL21" i="15" l="1"/>
  <c r="O21" i="15"/>
  <c r="N22" i="14"/>
  <c r="W22" i="14"/>
  <c r="X22" i="14"/>
  <c r="N22" i="13"/>
  <c r="W22" i="13"/>
  <c r="X22" i="13"/>
  <c r="W22" i="12"/>
  <c r="X22" i="12"/>
  <c r="X22" i="11"/>
  <c r="W22" i="11"/>
  <c r="AL21" i="10"/>
  <c r="M22" i="10"/>
  <c r="N22" i="10" s="1"/>
  <c r="AL21" i="9"/>
  <c r="M22" i="9"/>
  <c r="Q26" i="3"/>
  <c r="AN26" i="3" s="1"/>
  <c r="X26" i="3"/>
  <c r="Y26" i="3"/>
  <c r="M22" i="8"/>
  <c r="N22" i="8" s="1"/>
  <c r="AM22" i="8" s="1"/>
  <c r="P21" i="8"/>
  <c r="AK21" i="8" s="1"/>
  <c r="AL21" i="7"/>
  <c r="M22" i="7"/>
  <c r="N22" i="7" s="1"/>
  <c r="AK21" i="15" l="1"/>
  <c r="M22" i="15"/>
  <c r="P21" i="15"/>
  <c r="AJ21" i="15" s="1"/>
  <c r="AL22" i="14"/>
  <c r="O22" i="14"/>
  <c r="AL22" i="13"/>
  <c r="O22" i="13"/>
  <c r="AL22" i="12"/>
  <c r="O22" i="12"/>
  <c r="AL22" i="11"/>
  <c r="O22" i="11"/>
  <c r="P22" i="11" s="1"/>
  <c r="AJ22" i="11" s="1"/>
  <c r="Q22" i="10"/>
  <c r="AN22" i="10" s="1"/>
  <c r="Y22" i="10"/>
  <c r="X22" i="10"/>
  <c r="Q22" i="9"/>
  <c r="AN22" i="9" s="1"/>
  <c r="N22" i="9"/>
  <c r="X22" i="9"/>
  <c r="Y22" i="9"/>
  <c r="AM26" i="3"/>
  <c r="O26" i="3"/>
  <c r="Q22" i="8"/>
  <c r="AN22" i="8" s="1"/>
  <c r="X22" i="8"/>
  <c r="Y22" i="8"/>
  <c r="Q22" i="7"/>
  <c r="AN22" i="7" s="1"/>
  <c r="Y22" i="7"/>
  <c r="X22" i="7"/>
  <c r="N22" i="15" l="1"/>
  <c r="X22" i="15"/>
  <c r="W22" i="15"/>
  <c r="AK22" i="14"/>
  <c r="M23" i="14"/>
  <c r="P22" i="14"/>
  <c r="AJ22" i="14" s="1"/>
  <c r="AK22" i="13"/>
  <c r="M23" i="13"/>
  <c r="P22" i="13"/>
  <c r="AJ22" i="13" s="1"/>
  <c r="AK22" i="12"/>
  <c r="M23" i="12"/>
  <c r="P22" i="12"/>
  <c r="AJ22" i="12" s="1"/>
  <c r="AK22" i="11"/>
  <c r="M23" i="11"/>
  <c r="N23" i="11" s="1"/>
  <c r="AM22" i="10"/>
  <c r="O22" i="10"/>
  <c r="P22" i="10" s="1"/>
  <c r="AK22" i="10" s="1"/>
  <c r="AM22" i="9"/>
  <c r="O22" i="9"/>
  <c r="P22" i="9" s="1"/>
  <c r="AK22" i="9" s="1"/>
  <c r="AL26" i="3"/>
  <c r="M27" i="3"/>
  <c r="N27" i="3" s="1"/>
  <c r="P26" i="3"/>
  <c r="AK26" i="3" s="1"/>
  <c r="O22" i="8"/>
  <c r="AL22" i="8" s="1"/>
  <c r="AM22" i="7"/>
  <c r="O22" i="7"/>
  <c r="P22" i="7" s="1"/>
  <c r="AK22" i="7" s="1"/>
  <c r="AL22" i="15" l="1"/>
  <c r="O22" i="15"/>
  <c r="P22" i="15" s="1"/>
  <c r="AJ22" i="15" s="1"/>
  <c r="N23" i="14"/>
  <c r="W23" i="14"/>
  <c r="X23" i="14"/>
  <c r="N23" i="13"/>
  <c r="W23" i="13"/>
  <c r="X23" i="13"/>
  <c r="W23" i="12"/>
  <c r="N23" i="12" s="1"/>
  <c r="X23" i="12"/>
  <c r="W23" i="11"/>
  <c r="X23" i="11"/>
  <c r="AL22" i="10"/>
  <c r="M23" i="10"/>
  <c r="N23" i="10" s="1"/>
  <c r="AL22" i="9"/>
  <c r="M23" i="9"/>
  <c r="Q27" i="3"/>
  <c r="AN27" i="3" s="1"/>
  <c r="Y27" i="3"/>
  <c r="X27" i="3"/>
  <c r="P22" i="8"/>
  <c r="AK22" i="8" s="1"/>
  <c r="M23" i="8"/>
  <c r="N23" i="8" s="1"/>
  <c r="AM23" i="8" s="1"/>
  <c r="AL22" i="7"/>
  <c r="M23" i="7"/>
  <c r="N23" i="7" s="1"/>
  <c r="AK22" i="15" l="1"/>
  <c r="M23" i="15"/>
  <c r="AL23" i="14"/>
  <c r="O23" i="14"/>
  <c r="AL23" i="13"/>
  <c r="O23" i="13"/>
  <c r="AL23" i="12"/>
  <c r="O23" i="12"/>
  <c r="P23" i="12" s="1"/>
  <c r="AJ23" i="12" s="1"/>
  <c r="AL23" i="11"/>
  <c r="O23" i="11"/>
  <c r="Q23" i="10"/>
  <c r="AN23" i="10" s="1"/>
  <c r="X23" i="10"/>
  <c r="Y23" i="10"/>
  <c r="Q23" i="9"/>
  <c r="AN23" i="9" s="1"/>
  <c r="N23" i="9"/>
  <c r="X23" i="9"/>
  <c r="Y23" i="9"/>
  <c r="AM27" i="3"/>
  <c r="O27" i="3"/>
  <c r="P27" i="3" s="1"/>
  <c r="AK27" i="3" s="1"/>
  <c r="Q23" i="8"/>
  <c r="AN23" i="8" s="1"/>
  <c r="X23" i="8"/>
  <c r="Y23" i="8"/>
  <c r="Q23" i="7"/>
  <c r="AN23" i="7" s="1"/>
  <c r="Y23" i="7"/>
  <c r="X23" i="7"/>
  <c r="N23" i="15" l="1"/>
  <c r="W23" i="15"/>
  <c r="X23" i="15"/>
  <c r="AK23" i="14"/>
  <c r="M24" i="14"/>
  <c r="P23" i="14"/>
  <c r="AJ23" i="14" s="1"/>
  <c r="AK23" i="13"/>
  <c r="M24" i="13"/>
  <c r="P23" i="13"/>
  <c r="AJ23" i="13" s="1"/>
  <c r="AK23" i="12"/>
  <c r="M24" i="12"/>
  <c r="N24" i="12" s="1"/>
  <c r="AK23" i="11"/>
  <c r="M24" i="11"/>
  <c r="N24" i="11" s="1"/>
  <c r="P23" i="11"/>
  <c r="AJ23" i="11" s="1"/>
  <c r="AM23" i="10"/>
  <c r="O23" i="10"/>
  <c r="AM23" i="9"/>
  <c r="O23" i="9"/>
  <c r="AL27" i="3"/>
  <c r="M28" i="3"/>
  <c r="N28" i="3" s="1"/>
  <c r="O23" i="8"/>
  <c r="AL23" i="8" s="1"/>
  <c r="AM23" i="7"/>
  <c r="O23" i="7"/>
  <c r="P23" i="7" s="1"/>
  <c r="AK23" i="7" s="1"/>
  <c r="AL23" i="15" l="1"/>
  <c r="O23" i="15"/>
  <c r="N24" i="14"/>
  <c r="X24" i="14"/>
  <c r="W24" i="14"/>
  <c r="N24" i="13"/>
  <c r="W24" i="13"/>
  <c r="X24" i="13"/>
  <c r="X24" i="12"/>
  <c r="W24" i="12"/>
  <c r="X24" i="11"/>
  <c r="W24" i="11"/>
  <c r="AL23" i="10"/>
  <c r="M24" i="10"/>
  <c r="N24" i="10" s="1"/>
  <c r="P23" i="10"/>
  <c r="AK23" i="10" s="1"/>
  <c r="AL23" i="9"/>
  <c r="M24" i="9"/>
  <c r="P23" i="9"/>
  <c r="AK23" i="9" s="1"/>
  <c r="Q28" i="3"/>
  <c r="AN28" i="3" s="1"/>
  <c r="X28" i="3"/>
  <c r="Y28" i="3"/>
  <c r="M24" i="8"/>
  <c r="N24" i="8" s="1"/>
  <c r="AM24" i="8" s="1"/>
  <c r="P23" i="8"/>
  <c r="AK23" i="8" s="1"/>
  <c r="AL23" i="7"/>
  <c r="M24" i="7"/>
  <c r="N24" i="7" s="1"/>
  <c r="AK23" i="15" l="1"/>
  <c r="M24" i="15"/>
  <c r="P23" i="15"/>
  <c r="AJ23" i="15" s="1"/>
  <c r="AL24" i="14"/>
  <c r="O24" i="14"/>
  <c r="AL24" i="13"/>
  <c r="O24" i="13"/>
  <c r="AL24" i="12"/>
  <c r="O24" i="12"/>
  <c r="AL24" i="11"/>
  <c r="O24" i="11"/>
  <c r="P24" i="11" s="1"/>
  <c r="AJ24" i="11" s="1"/>
  <c r="Q24" i="10"/>
  <c r="AN24" i="10" s="1"/>
  <c r="Y24" i="10"/>
  <c r="X24" i="10"/>
  <c r="Q24" i="9"/>
  <c r="AN24" i="9" s="1"/>
  <c r="N24" i="9"/>
  <c r="X24" i="9"/>
  <c r="Y24" i="9"/>
  <c r="AM28" i="3"/>
  <c r="O28" i="3"/>
  <c r="P28" i="3" s="1"/>
  <c r="AK28" i="3" s="1"/>
  <c r="Q24" i="8"/>
  <c r="AN24" i="8" s="1"/>
  <c r="X24" i="8"/>
  <c r="Y24" i="8"/>
  <c r="Q24" i="7"/>
  <c r="AN24" i="7" s="1"/>
  <c r="X24" i="7"/>
  <c r="Y24" i="7"/>
  <c r="N24" i="15" l="1"/>
  <c r="X24" i="15"/>
  <c r="W24" i="15"/>
  <c r="AK24" i="14"/>
  <c r="M25" i="14"/>
  <c r="P24" i="14"/>
  <c r="AJ24" i="14" s="1"/>
  <c r="AK24" i="13"/>
  <c r="M25" i="13"/>
  <c r="P24" i="13"/>
  <c r="AJ24" i="13" s="1"/>
  <c r="AK24" i="12"/>
  <c r="M25" i="12"/>
  <c r="N25" i="12" s="1"/>
  <c r="P24" i="12"/>
  <c r="AJ24" i="12" s="1"/>
  <c r="AK24" i="11"/>
  <c r="M25" i="11"/>
  <c r="N25" i="11" s="1"/>
  <c r="AM24" i="10"/>
  <c r="O24" i="10"/>
  <c r="AM24" i="9"/>
  <c r="O24" i="9"/>
  <c r="AL28" i="3"/>
  <c r="M29" i="3"/>
  <c r="N29" i="3" s="1"/>
  <c r="O24" i="8"/>
  <c r="AL24" i="8" s="1"/>
  <c r="AM24" i="7"/>
  <c r="O24" i="7"/>
  <c r="AL24" i="15" l="1"/>
  <c r="O24" i="15"/>
  <c r="N25" i="14"/>
  <c r="X25" i="14"/>
  <c r="W25" i="14"/>
  <c r="N25" i="13"/>
  <c r="X25" i="13"/>
  <c r="W25" i="13"/>
  <c r="W25" i="12"/>
  <c r="X25" i="12"/>
  <c r="W25" i="11"/>
  <c r="X25" i="11"/>
  <c r="AL24" i="10"/>
  <c r="M25" i="10"/>
  <c r="N25" i="10" s="1"/>
  <c r="P24" i="10"/>
  <c r="AK24" i="10" s="1"/>
  <c r="AL24" i="9"/>
  <c r="M25" i="9"/>
  <c r="P24" i="9"/>
  <c r="AK24" i="9" s="1"/>
  <c r="Q29" i="3"/>
  <c r="AN29" i="3" s="1"/>
  <c r="X29" i="3"/>
  <c r="Y29" i="3"/>
  <c r="P24" i="8"/>
  <c r="AK24" i="8" s="1"/>
  <c r="M25" i="8"/>
  <c r="N25" i="8" s="1"/>
  <c r="AM25" i="8" s="1"/>
  <c r="AL24" i="7"/>
  <c r="M25" i="7"/>
  <c r="N25" i="7" s="1"/>
  <c r="P24" i="7"/>
  <c r="AK24" i="7" s="1"/>
  <c r="AK24" i="15" l="1"/>
  <c r="M25" i="15"/>
  <c r="P24" i="15"/>
  <c r="AJ24" i="15" s="1"/>
  <c r="AL25" i="14"/>
  <c r="O25" i="14"/>
  <c r="AL25" i="13"/>
  <c r="O25" i="13"/>
  <c r="AL25" i="12"/>
  <c r="O25" i="12"/>
  <c r="AL25" i="11"/>
  <c r="O25" i="11"/>
  <c r="P25" i="11" s="1"/>
  <c r="AJ25" i="11" s="1"/>
  <c r="Q25" i="10"/>
  <c r="AN25" i="10" s="1"/>
  <c r="X25" i="10"/>
  <c r="Y25" i="10"/>
  <c r="Q25" i="9"/>
  <c r="AN25" i="9" s="1"/>
  <c r="N25" i="9"/>
  <c r="X25" i="9"/>
  <c r="Y25" i="9"/>
  <c r="AM29" i="3"/>
  <c r="O29" i="3"/>
  <c r="P29" i="3" s="1"/>
  <c r="AK29" i="3" s="1"/>
  <c r="Q25" i="8"/>
  <c r="AN25" i="8" s="1"/>
  <c r="X25" i="8"/>
  <c r="Y25" i="8"/>
  <c r="Q25" i="7"/>
  <c r="AN25" i="7" s="1"/>
  <c r="X25" i="7"/>
  <c r="Y25" i="7"/>
  <c r="N25" i="15" l="1"/>
  <c r="W25" i="15"/>
  <c r="X25" i="15"/>
  <c r="AK25" i="14"/>
  <c r="M26" i="14"/>
  <c r="P25" i="14"/>
  <c r="AJ25" i="14" s="1"/>
  <c r="AK25" i="13"/>
  <c r="M26" i="13"/>
  <c r="P25" i="13"/>
  <c r="AJ25" i="13" s="1"/>
  <c r="AK25" i="12"/>
  <c r="M26" i="12"/>
  <c r="N26" i="12" s="1"/>
  <c r="P25" i="12"/>
  <c r="AJ25" i="12" s="1"/>
  <c r="AK25" i="11"/>
  <c r="M26" i="11"/>
  <c r="N26" i="11" s="1"/>
  <c r="AM25" i="10"/>
  <c r="O25" i="10"/>
  <c r="P25" i="10" s="1"/>
  <c r="AK25" i="10" s="1"/>
  <c r="AM25" i="9"/>
  <c r="O25" i="9"/>
  <c r="AL29" i="3"/>
  <c r="M30" i="3"/>
  <c r="N30" i="3" s="1"/>
  <c r="O25" i="8"/>
  <c r="AL25" i="8" s="1"/>
  <c r="AM25" i="7"/>
  <c r="O25" i="7"/>
  <c r="AL25" i="15" l="1"/>
  <c r="O25" i="15"/>
  <c r="N26" i="14"/>
  <c r="W26" i="14"/>
  <c r="X26" i="14"/>
  <c r="N26" i="13"/>
  <c r="X26" i="13"/>
  <c r="W26" i="13"/>
  <c r="W26" i="12"/>
  <c r="X26" i="12"/>
  <c r="W26" i="11"/>
  <c r="X26" i="11"/>
  <c r="AL25" i="10"/>
  <c r="M26" i="10"/>
  <c r="N26" i="10" s="1"/>
  <c r="AL25" i="9"/>
  <c r="M26" i="9"/>
  <c r="P25" i="9"/>
  <c r="AK25" i="9" s="1"/>
  <c r="Q30" i="3"/>
  <c r="AN30" i="3" s="1"/>
  <c r="X30" i="3"/>
  <c r="Y30" i="3"/>
  <c r="M26" i="8"/>
  <c r="N26" i="8" s="1"/>
  <c r="AM26" i="8" s="1"/>
  <c r="P25" i="8"/>
  <c r="AK25" i="8" s="1"/>
  <c r="AL25" i="7"/>
  <c r="M26" i="7"/>
  <c r="N26" i="7" s="1"/>
  <c r="P25" i="7"/>
  <c r="AK25" i="7" s="1"/>
  <c r="AK25" i="15" l="1"/>
  <c r="M26" i="15"/>
  <c r="P25" i="15"/>
  <c r="AJ25" i="15" s="1"/>
  <c r="AL26" i="14"/>
  <c r="O26" i="14"/>
  <c r="AL26" i="13"/>
  <c r="O26" i="13"/>
  <c r="AL26" i="12"/>
  <c r="O26" i="12"/>
  <c r="AL26" i="11"/>
  <c r="O26" i="11"/>
  <c r="P26" i="11" s="1"/>
  <c r="AJ26" i="11" s="1"/>
  <c r="Q26" i="10"/>
  <c r="AN26" i="10" s="1"/>
  <c r="X26" i="10"/>
  <c r="Y26" i="10"/>
  <c r="Q26" i="9"/>
  <c r="AN26" i="9" s="1"/>
  <c r="N26" i="9"/>
  <c r="X26" i="9"/>
  <c r="Y26" i="9"/>
  <c r="AM30" i="3"/>
  <c r="O30" i="3"/>
  <c r="Q26" i="8"/>
  <c r="AN26" i="8" s="1"/>
  <c r="Y26" i="8"/>
  <c r="X26" i="8"/>
  <c r="Q26" i="7"/>
  <c r="AN26" i="7" s="1"/>
  <c r="X26" i="7"/>
  <c r="Y26" i="7"/>
  <c r="N26" i="15" l="1"/>
  <c r="X26" i="15"/>
  <c r="W26" i="15"/>
  <c r="AK26" i="14"/>
  <c r="M27" i="14"/>
  <c r="P26" i="14"/>
  <c r="AJ26" i="14" s="1"/>
  <c r="AK26" i="13"/>
  <c r="M27" i="13"/>
  <c r="P26" i="13"/>
  <c r="AJ26" i="13" s="1"/>
  <c r="AK26" i="12"/>
  <c r="M27" i="12"/>
  <c r="N27" i="12" s="1"/>
  <c r="P26" i="12"/>
  <c r="AJ26" i="12" s="1"/>
  <c r="AK26" i="11"/>
  <c r="M27" i="11"/>
  <c r="N27" i="11" s="1"/>
  <c r="AM26" i="10"/>
  <c r="O26" i="10"/>
  <c r="P26" i="10" s="1"/>
  <c r="AK26" i="10" s="1"/>
  <c r="AM26" i="9"/>
  <c r="O26" i="9"/>
  <c r="AL30" i="3"/>
  <c r="M31" i="3"/>
  <c r="N31" i="3" s="1"/>
  <c r="P30" i="3"/>
  <c r="AK30" i="3" s="1"/>
  <c r="O26" i="8"/>
  <c r="AL26" i="8" s="1"/>
  <c r="AM26" i="7"/>
  <c r="O26" i="7"/>
  <c r="P26" i="7" s="1"/>
  <c r="AK26" i="7" s="1"/>
  <c r="AL26" i="15" l="1"/>
  <c r="O26" i="15"/>
  <c r="P26" i="15" s="1"/>
  <c r="AJ26" i="15" s="1"/>
  <c r="O27" i="14"/>
  <c r="AK27" i="14" s="1"/>
  <c r="N27" i="14"/>
  <c r="W27" i="14"/>
  <c r="X27" i="14"/>
  <c r="O27" i="13"/>
  <c r="AK27" i="13" s="1"/>
  <c r="N27" i="13"/>
  <c r="X27" i="13"/>
  <c r="W27" i="13"/>
  <c r="W27" i="12"/>
  <c r="X27" i="12"/>
  <c r="W27" i="11"/>
  <c r="X27" i="11"/>
  <c r="AL26" i="10"/>
  <c r="M27" i="10"/>
  <c r="N27" i="10" s="1"/>
  <c r="AL26" i="9"/>
  <c r="M27" i="9"/>
  <c r="P26" i="9"/>
  <c r="AK26" i="9" s="1"/>
  <c r="Q31" i="3"/>
  <c r="AN31" i="3" s="1"/>
  <c r="Y31" i="3"/>
  <c r="X31" i="3"/>
  <c r="P26" i="8"/>
  <c r="AK26" i="8" s="1"/>
  <c r="M27" i="8"/>
  <c r="N27" i="8" s="1"/>
  <c r="AM27" i="8" s="1"/>
  <c r="AL26" i="7"/>
  <c r="M27" i="7"/>
  <c r="N27" i="7" s="1"/>
  <c r="AK26" i="15" l="1"/>
  <c r="M27" i="15"/>
  <c r="M28" i="14"/>
  <c r="X28" i="14" s="1"/>
  <c r="N28" i="14"/>
  <c r="AL27" i="14"/>
  <c r="P27" i="14"/>
  <c r="AJ27" i="14" s="1"/>
  <c r="P27" i="13"/>
  <c r="AJ27" i="13" s="1"/>
  <c r="AL27" i="13"/>
  <c r="M28" i="13"/>
  <c r="AL27" i="12"/>
  <c r="O27" i="12"/>
  <c r="P27" i="12" s="1"/>
  <c r="AJ27" i="12" s="1"/>
  <c r="AL27" i="11"/>
  <c r="O27" i="11"/>
  <c r="Q27" i="10"/>
  <c r="AN27" i="10" s="1"/>
  <c r="X27" i="10"/>
  <c r="Y27" i="10"/>
  <c r="Q27" i="9"/>
  <c r="AN27" i="9" s="1"/>
  <c r="N27" i="9"/>
  <c r="X27" i="9"/>
  <c r="Y27" i="9"/>
  <c r="AM31" i="3"/>
  <c r="O31" i="3"/>
  <c r="P31" i="3" s="1"/>
  <c r="AK31" i="3" s="1"/>
  <c r="Q27" i="8"/>
  <c r="AN27" i="8" s="1"/>
  <c r="X27" i="8"/>
  <c r="Y27" i="8"/>
  <c r="Q27" i="7"/>
  <c r="AN27" i="7" s="1"/>
  <c r="Y27" i="7"/>
  <c r="X27" i="7"/>
  <c r="O27" i="15" l="1"/>
  <c r="AK27" i="15" s="1"/>
  <c r="N27" i="15"/>
  <c r="W27" i="15"/>
  <c r="X27" i="15"/>
  <c r="W28" i="14"/>
  <c r="O28" i="14"/>
  <c r="M29" i="14" s="1"/>
  <c r="X28" i="13"/>
  <c r="W28" i="13"/>
  <c r="N28" i="13"/>
  <c r="AK27" i="12"/>
  <c r="M28" i="12"/>
  <c r="N28" i="12" s="1"/>
  <c r="AK27" i="11"/>
  <c r="M28" i="11"/>
  <c r="N28" i="11" s="1"/>
  <c r="P27" i="11"/>
  <c r="AJ27" i="11" s="1"/>
  <c r="AM27" i="10"/>
  <c r="O27" i="10"/>
  <c r="AM27" i="9"/>
  <c r="O27" i="9"/>
  <c r="AL31" i="3"/>
  <c r="M32" i="3"/>
  <c r="N32" i="3" s="1"/>
  <c r="O27" i="8"/>
  <c r="AL27" i="8" s="1"/>
  <c r="AM27" i="7"/>
  <c r="O27" i="7"/>
  <c r="P27" i="7" s="1"/>
  <c r="AK27" i="7" s="1"/>
  <c r="P27" i="15" l="1"/>
  <c r="AJ27" i="15" s="1"/>
  <c r="AL27" i="15"/>
  <c r="M28" i="15"/>
  <c r="P28" i="14"/>
  <c r="N29" i="14"/>
  <c r="W29" i="14"/>
  <c r="X29" i="14"/>
  <c r="O28" i="13"/>
  <c r="M29" i="13" s="1"/>
  <c r="W28" i="12"/>
  <c r="X28" i="12"/>
  <c r="W28" i="11"/>
  <c r="X28" i="11"/>
  <c r="AL27" i="10"/>
  <c r="M28" i="10"/>
  <c r="N28" i="10" s="1"/>
  <c r="P27" i="10"/>
  <c r="AK27" i="10" s="1"/>
  <c r="AL27" i="9"/>
  <c r="M28" i="9"/>
  <c r="P27" i="9"/>
  <c r="AK27" i="9" s="1"/>
  <c r="Q32" i="3"/>
  <c r="AN32" i="3" s="1"/>
  <c r="X32" i="3"/>
  <c r="Y32" i="3"/>
  <c r="P27" i="8"/>
  <c r="AK27" i="8" s="1"/>
  <c r="M28" i="8"/>
  <c r="N28" i="8" s="1"/>
  <c r="AM28" i="8" s="1"/>
  <c r="AL27" i="7"/>
  <c r="M28" i="7"/>
  <c r="N28" i="7" s="1"/>
  <c r="N28" i="15" l="1"/>
  <c r="W28" i="15"/>
  <c r="X28" i="15"/>
  <c r="O29" i="14"/>
  <c r="M30" i="14" s="1"/>
  <c r="N29" i="13"/>
  <c r="W29" i="13"/>
  <c r="X29" i="13"/>
  <c r="P28" i="13"/>
  <c r="O28" i="12"/>
  <c r="P28" i="12" s="1"/>
  <c r="AL28" i="11"/>
  <c r="O28" i="11"/>
  <c r="P28" i="11" s="1"/>
  <c r="AJ28" i="11" s="1"/>
  <c r="Q28" i="10"/>
  <c r="AN28" i="10" s="1"/>
  <c r="X28" i="10"/>
  <c r="Y28" i="10"/>
  <c r="Q28" i="9"/>
  <c r="AN28" i="9" s="1"/>
  <c r="N28" i="9"/>
  <c r="Y28" i="9"/>
  <c r="X28" i="9"/>
  <c r="AM32" i="3"/>
  <c r="O32" i="3"/>
  <c r="Q28" i="8"/>
  <c r="AN28" i="8" s="1"/>
  <c r="X28" i="8"/>
  <c r="Y28" i="8"/>
  <c r="Q28" i="7"/>
  <c r="AN28" i="7" s="1"/>
  <c r="X28" i="7"/>
  <c r="Y28" i="7"/>
  <c r="O28" i="15" l="1"/>
  <c r="M29" i="15" s="1"/>
  <c r="P29" i="14"/>
  <c r="X30" i="14"/>
  <c r="N30" i="14"/>
  <c r="W30" i="14"/>
  <c r="O29" i="13"/>
  <c r="M30" i="13" s="1"/>
  <c r="M29" i="12"/>
  <c r="N29" i="12" s="1"/>
  <c r="AK28" i="11"/>
  <c r="M29" i="11"/>
  <c r="N29" i="11" s="1"/>
  <c r="AM28" i="10"/>
  <c r="O28" i="10"/>
  <c r="P28" i="10" s="1"/>
  <c r="AK28" i="10" s="1"/>
  <c r="AM28" i="9"/>
  <c r="O28" i="9"/>
  <c r="AL32" i="3"/>
  <c r="M33" i="3"/>
  <c r="N33" i="3" s="1"/>
  <c r="P32" i="3"/>
  <c r="AK32" i="3" s="1"/>
  <c r="O28" i="8"/>
  <c r="AL28" i="8" s="1"/>
  <c r="AM28" i="7"/>
  <c r="O28" i="7"/>
  <c r="P28" i="7" s="1"/>
  <c r="AK28" i="7" s="1"/>
  <c r="X29" i="15" l="1"/>
  <c r="N29" i="15"/>
  <c r="W29" i="15"/>
  <c r="P28" i="15"/>
  <c r="O30" i="14"/>
  <c r="M31" i="14" s="1"/>
  <c r="X30" i="13"/>
  <c r="W30" i="13"/>
  <c r="N30" i="13"/>
  <c r="P29" i="13"/>
  <c r="W29" i="12"/>
  <c r="X29" i="12"/>
  <c r="W29" i="11"/>
  <c r="X29" i="11"/>
  <c r="AL28" i="10"/>
  <c r="M29" i="10"/>
  <c r="N29" i="10" s="1"/>
  <c r="AL28" i="9"/>
  <c r="M29" i="9"/>
  <c r="P28" i="9"/>
  <c r="AK28" i="9" s="1"/>
  <c r="Q33" i="3"/>
  <c r="AN33" i="3" s="1"/>
  <c r="X33" i="3"/>
  <c r="Y33" i="3"/>
  <c r="P28" i="8"/>
  <c r="AK28" i="8" s="1"/>
  <c r="M29" i="8"/>
  <c r="N29" i="8" s="1"/>
  <c r="AM29" i="8" s="1"/>
  <c r="AL28" i="7"/>
  <c r="M29" i="7"/>
  <c r="N29" i="7" s="1"/>
  <c r="O29" i="15" l="1"/>
  <c r="M30" i="15" s="1"/>
  <c r="P30" i="14"/>
  <c r="X31" i="14"/>
  <c r="N31" i="14"/>
  <c r="W31" i="14"/>
  <c r="O30" i="13"/>
  <c r="M31" i="13" s="1"/>
  <c r="O29" i="12"/>
  <c r="P29" i="12" s="1"/>
  <c r="AL29" i="11"/>
  <c r="O29" i="11"/>
  <c r="P29" i="11" s="1"/>
  <c r="AJ29" i="11" s="1"/>
  <c r="Q29" i="10"/>
  <c r="AN29" i="10" s="1"/>
  <c r="X29" i="10"/>
  <c r="Y29" i="10"/>
  <c r="Q29" i="9"/>
  <c r="AN29" i="9" s="1"/>
  <c r="N29" i="9"/>
  <c r="Y29" i="9"/>
  <c r="X29" i="9"/>
  <c r="AM33" i="3"/>
  <c r="O33" i="3"/>
  <c r="Q29" i="8"/>
  <c r="AN29" i="8" s="1"/>
  <c r="X29" i="8"/>
  <c r="Y29" i="8"/>
  <c r="Q29" i="7"/>
  <c r="AN29" i="7" s="1"/>
  <c r="Y29" i="7"/>
  <c r="X29" i="7"/>
  <c r="X30" i="15" l="1"/>
  <c r="N30" i="15"/>
  <c r="W30" i="15"/>
  <c r="P29" i="15"/>
  <c r="O31" i="14"/>
  <c r="M32" i="14" s="1"/>
  <c r="N31" i="13"/>
  <c r="X31" i="13"/>
  <c r="W31" i="13"/>
  <c r="P30" i="13"/>
  <c r="M30" i="12"/>
  <c r="N30" i="12" s="1"/>
  <c r="AK29" i="11"/>
  <c r="M30" i="11"/>
  <c r="N30" i="11" s="1"/>
  <c r="AM29" i="10"/>
  <c r="O29" i="10"/>
  <c r="P29" i="10" s="1"/>
  <c r="AK29" i="10" s="1"/>
  <c r="AM29" i="9"/>
  <c r="O29" i="9"/>
  <c r="P29" i="9" s="1"/>
  <c r="AK29" i="9" s="1"/>
  <c r="AL33" i="3"/>
  <c r="M34" i="3"/>
  <c r="N34" i="3" s="1"/>
  <c r="P33" i="3"/>
  <c r="AK33" i="3" s="1"/>
  <c r="O29" i="8"/>
  <c r="AL29" i="8" s="1"/>
  <c r="AM29" i="7"/>
  <c r="O29" i="7"/>
  <c r="O30" i="15" l="1"/>
  <c r="M31" i="15" s="1"/>
  <c r="N32" i="14"/>
  <c r="W32" i="14"/>
  <c r="X32" i="14"/>
  <c r="P31" i="14"/>
  <c r="O31" i="13"/>
  <c r="M32" i="13" s="1"/>
  <c r="X30" i="12"/>
  <c r="W30" i="12"/>
  <c r="W30" i="11"/>
  <c r="X30" i="11"/>
  <c r="AL29" i="10"/>
  <c r="M30" i="10"/>
  <c r="N30" i="10" s="1"/>
  <c r="AL29" i="9"/>
  <c r="M30" i="9"/>
  <c r="Q34" i="3"/>
  <c r="AN34" i="3" s="1"/>
  <c r="X34" i="3"/>
  <c r="Y34" i="3"/>
  <c r="M30" i="8"/>
  <c r="N30" i="8" s="1"/>
  <c r="AM30" i="8" s="1"/>
  <c r="P29" i="8"/>
  <c r="AK29" i="8" s="1"/>
  <c r="AL29" i="7"/>
  <c r="M30" i="7"/>
  <c r="N30" i="7" s="1"/>
  <c r="P29" i="7"/>
  <c r="AK29" i="7" s="1"/>
  <c r="N31" i="15" l="1"/>
  <c r="W31" i="15"/>
  <c r="X31" i="15"/>
  <c r="P30" i="15"/>
  <c r="O32" i="14"/>
  <c r="M33" i="14" s="1"/>
  <c r="N32" i="13"/>
  <c r="X32" i="13"/>
  <c r="W32" i="13"/>
  <c r="P31" i="13"/>
  <c r="O30" i="12"/>
  <c r="AL30" i="11"/>
  <c r="O30" i="11"/>
  <c r="P30" i="11" s="1"/>
  <c r="AJ30" i="11" s="1"/>
  <c r="Q30" i="10"/>
  <c r="AN30" i="10" s="1"/>
  <c r="X30" i="10"/>
  <c r="Y30" i="10"/>
  <c r="Q30" i="9"/>
  <c r="AN30" i="9" s="1"/>
  <c r="N30" i="9"/>
  <c r="X30" i="9"/>
  <c r="Y30" i="9"/>
  <c r="AM34" i="3"/>
  <c r="O34" i="3"/>
  <c r="Q30" i="8"/>
  <c r="AN30" i="8" s="1"/>
  <c r="X30" i="8"/>
  <c r="Y30" i="8"/>
  <c r="Q30" i="7"/>
  <c r="AN30" i="7" s="1"/>
  <c r="X30" i="7"/>
  <c r="Y30" i="7"/>
  <c r="O31" i="15" l="1"/>
  <c r="M32" i="15" s="1"/>
  <c r="N33" i="14"/>
  <c r="X33" i="14"/>
  <c r="W33" i="14"/>
  <c r="P32" i="14"/>
  <c r="O32" i="13"/>
  <c r="M33" i="13" s="1"/>
  <c r="M31" i="12"/>
  <c r="N31" i="12" s="1"/>
  <c r="P30" i="12"/>
  <c r="AK30" i="11"/>
  <c r="M31" i="11"/>
  <c r="N31" i="11" s="1"/>
  <c r="AM30" i="10"/>
  <c r="O30" i="10"/>
  <c r="AM30" i="9"/>
  <c r="O30" i="9"/>
  <c r="AL34" i="3"/>
  <c r="M35" i="3"/>
  <c r="N35" i="3" s="1"/>
  <c r="P34" i="3"/>
  <c r="AK34" i="3" s="1"/>
  <c r="O30" i="8"/>
  <c r="AL30" i="8" s="1"/>
  <c r="AM30" i="7"/>
  <c r="O30" i="7"/>
  <c r="X32" i="15" l="1"/>
  <c r="W32" i="15"/>
  <c r="N32" i="15"/>
  <c r="P31" i="15"/>
  <c r="O33" i="14"/>
  <c r="M34" i="14" s="1"/>
  <c r="N33" i="13"/>
  <c r="W33" i="13"/>
  <c r="X33" i="13"/>
  <c r="P32" i="13"/>
  <c r="W31" i="12"/>
  <c r="X31" i="12"/>
  <c r="X31" i="11"/>
  <c r="W31" i="11"/>
  <c r="AL30" i="10"/>
  <c r="M31" i="10"/>
  <c r="N31" i="10" s="1"/>
  <c r="P30" i="10"/>
  <c r="AK30" i="10" s="1"/>
  <c r="AL30" i="9"/>
  <c r="M31" i="9"/>
  <c r="P30" i="9"/>
  <c r="AK30" i="9" s="1"/>
  <c r="Q35" i="3"/>
  <c r="AN35" i="3" s="1"/>
  <c r="Y35" i="3"/>
  <c r="X35" i="3"/>
  <c r="P30" i="8"/>
  <c r="AK30" i="8" s="1"/>
  <c r="M31" i="8"/>
  <c r="N31" i="8" s="1"/>
  <c r="AM31" i="8" s="1"/>
  <c r="AL30" i="7"/>
  <c r="M31" i="7"/>
  <c r="N31" i="7" s="1"/>
  <c r="P30" i="7"/>
  <c r="AK30" i="7" s="1"/>
  <c r="O32" i="15" l="1"/>
  <c r="M33" i="15" s="1"/>
  <c r="X34" i="14"/>
  <c r="N34" i="14"/>
  <c r="W34" i="14"/>
  <c r="P33" i="14"/>
  <c r="O33" i="13"/>
  <c r="M34" i="13" s="1"/>
  <c r="O31" i="12"/>
  <c r="P31" i="12" s="1"/>
  <c r="AL31" i="11"/>
  <c r="O31" i="11"/>
  <c r="Q31" i="10"/>
  <c r="AN31" i="10" s="1"/>
  <c r="X31" i="10"/>
  <c r="Y31" i="10"/>
  <c r="Q31" i="9"/>
  <c r="AN31" i="9" s="1"/>
  <c r="N31" i="9"/>
  <c r="Y31" i="9"/>
  <c r="X31" i="9"/>
  <c r="AM35" i="3"/>
  <c r="O35" i="3"/>
  <c r="P35" i="3" s="1"/>
  <c r="AK35" i="3" s="1"/>
  <c r="Q31" i="8"/>
  <c r="AN31" i="8" s="1"/>
  <c r="X31" i="8"/>
  <c r="Y31" i="8"/>
  <c r="Q31" i="7"/>
  <c r="AN31" i="7" s="1"/>
  <c r="X31" i="7"/>
  <c r="Y31" i="7"/>
  <c r="N33" i="15" l="1"/>
  <c r="X33" i="15"/>
  <c r="W33" i="15"/>
  <c r="P32" i="15"/>
  <c r="O34" i="14"/>
  <c r="M35" i="14" s="1"/>
  <c r="W34" i="13"/>
  <c r="X34" i="13"/>
  <c r="N34" i="13"/>
  <c r="P33" i="13"/>
  <c r="M32" i="12"/>
  <c r="N32" i="12" s="1"/>
  <c r="AK31" i="11"/>
  <c r="M32" i="11"/>
  <c r="N32" i="11" s="1"/>
  <c r="P31" i="11"/>
  <c r="AJ31" i="11" s="1"/>
  <c r="AM31" i="10"/>
  <c r="O31" i="10"/>
  <c r="P31" i="10" s="1"/>
  <c r="AK31" i="10" s="1"/>
  <c r="AM31" i="9"/>
  <c r="O31" i="9"/>
  <c r="AL35" i="3"/>
  <c r="M36" i="3"/>
  <c r="N36" i="3" s="1"/>
  <c r="O31" i="8"/>
  <c r="AL31" i="8" s="1"/>
  <c r="AM31" i="7"/>
  <c r="O31" i="7"/>
  <c r="O33" i="15" l="1"/>
  <c r="M34" i="15" s="1"/>
  <c r="X35" i="14"/>
  <c r="N35" i="14"/>
  <c r="W35" i="14"/>
  <c r="P34" i="14"/>
  <c r="O34" i="13"/>
  <c r="M35" i="13" s="1"/>
  <c r="W32" i="12"/>
  <c r="X32" i="12"/>
  <c r="W32" i="11"/>
  <c r="X32" i="11"/>
  <c r="AL31" i="10"/>
  <c r="M32" i="10"/>
  <c r="N32" i="10" s="1"/>
  <c r="AL31" i="9"/>
  <c r="M32" i="9"/>
  <c r="P31" i="9"/>
  <c r="AK31" i="9" s="1"/>
  <c r="Q36" i="3"/>
  <c r="AN36" i="3" s="1"/>
  <c r="X36" i="3"/>
  <c r="Y36" i="3"/>
  <c r="M32" i="8"/>
  <c r="N32" i="8" s="1"/>
  <c r="AM32" i="8" s="1"/>
  <c r="P31" i="8"/>
  <c r="AK31" i="8" s="1"/>
  <c r="AL31" i="7"/>
  <c r="M32" i="7"/>
  <c r="N32" i="7" s="1"/>
  <c r="P31" i="7"/>
  <c r="AK31" i="7" s="1"/>
  <c r="N34" i="15" l="1"/>
  <c r="W34" i="15"/>
  <c r="X34" i="15"/>
  <c r="P33" i="15"/>
  <c r="O35" i="14"/>
  <c r="M36" i="14" s="1"/>
  <c r="N35" i="13"/>
  <c r="W35" i="13"/>
  <c r="X35" i="13"/>
  <c r="P34" i="13"/>
  <c r="O32" i="12"/>
  <c r="AL32" i="11"/>
  <c r="O32" i="11"/>
  <c r="P32" i="11" s="1"/>
  <c r="AJ32" i="11" s="1"/>
  <c r="Q32" i="10"/>
  <c r="AN32" i="10" s="1"/>
  <c r="X32" i="10"/>
  <c r="Y32" i="10"/>
  <c r="Q32" i="9"/>
  <c r="AN32" i="9" s="1"/>
  <c r="N32" i="9"/>
  <c r="X32" i="9"/>
  <c r="Y32" i="9"/>
  <c r="AM36" i="3"/>
  <c r="O36" i="3"/>
  <c r="P36" i="3" s="1"/>
  <c r="AK36" i="3" s="1"/>
  <c r="Q32" i="8"/>
  <c r="AN32" i="8" s="1"/>
  <c r="X32" i="8"/>
  <c r="Y32" i="8"/>
  <c r="Q32" i="7"/>
  <c r="AN32" i="7" s="1"/>
  <c r="X32" i="7"/>
  <c r="Y32" i="7"/>
  <c r="O34" i="15" l="1"/>
  <c r="M35" i="15" s="1"/>
  <c r="N36" i="14"/>
  <c r="W36" i="14"/>
  <c r="X36" i="14"/>
  <c r="P35" i="14"/>
  <c r="O35" i="13"/>
  <c r="M36" i="13" s="1"/>
  <c r="M33" i="12"/>
  <c r="N33" i="12" s="1"/>
  <c r="P32" i="12"/>
  <c r="AK32" i="11"/>
  <c r="M33" i="11"/>
  <c r="N33" i="11" s="1"/>
  <c r="AM32" i="10"/>
  <c r="O32" i="10"/>
  <c r="P32" i="10" s="1"/>
  <c r="AK32" i="10" s="1"/>
  <c r="AM32" i="9"/>
  <c r="O32" i="9"/>
  <c r="AL36" i="3"/>
  <c r="M37" i="3"/>
  <c r="N37" i="3" s="1"/>
  <c r="O32" i="8"/>
  <c r="AL32" i="8" s="1"/>
  <c r="AM32" i="7"/>
  <c r="O32" i="7"/>
  <c r="W35" i="15" l="1"/>
  <c r="N35" i="15"/>
  <c r="X35" i="15"/>
  <c r="P34" i="15"/>
  <c r="O36" i="14"/>
  <c r="M37" i="14" s="1"/>
  <c r="N36" i="13"/>
  <c r="X36" i="13"/>
  <c r="W36" i="13"/>
  <c r="P35" i="13"/>
  <c r="X33" i="12"/>
  <c r="W33" i="12"/>
  <c r="X33" i="11"/>
  <c r="W33" i="11"/>
  <c r="AL32" i="10"/>
  <c r="M33" i="10"/>
  <c r="N33" i="10" s="1"/>
  <c r="AL32" i="9"/>
  <c r="M33" i="9"/>
  <c r="P32" i="9"/>
  <c r="AK32" i="9" s="1"/>
  <c r="Q37" i="3"/>
  <c r="AN37" i="3" s="1"/>
  <c r="X37" i="3"/>
  <c r="Y37" i="3"/>
  <c r="P32" i="8"/>
  <c r="AK32" i="8" s="1"/>
  <c r="M33" i="8"/>
  <c r="N33" i="8" s="1"/>
  <c r="AM33" i="8" s="1"/>
  <c r="AL32" i="7"/>
  <c r="M33" i="7"/>
  <c r="N33" i="7" s="1"/>
  <c r="P32" i="7"/>
  <c r="AK32" i="7" s="1"/>
  <c r="O35" i="15" l="1"/>
  <c r="M36" i="15" s="1"/>
  <c r="W37" i="14"/>
  <c r="X37" i="14"/>
  <c r="N37" i="14"/>
  <c r="P36" i="14"/>
  <c r="O36" i="13"/>
  <c r="M37" i="13" s="1"/>
  <c r="O33" i="12"/>
  <c r="P33" i="12" s="1"/>
  <c r="AL33" i="11"/>
  <c r="O33" i="11"/>
  <c r="P33" i="11" s="1"/>
  <c r="AJ33" i="11" s="1"/>
  <c r="Q33" i="10"/>
  <c r="AN33" i="10" s="1"/>
  <c r="X33" i="10"/>
  <c r="Y33" i="10"/>
  <c r="Q33" i="9"/>
  <c r="AN33" i="9" s="1"/>
  <c r="N33" i="9"/>
  <c r="X33" i="9"/>
  <c r="Y33" i="9"/>
  <c r="AM37" i="3"/>
  <c r="O37" i="3"/>
  <c r="P37" i="3" s="1"/>
  <c r="AK37" i="3" s="1"/>
  <c r="Q33" i="8"/>
  <c r="AN33" i="8" s="1"/>
  <c r="X33" i="8"/>
  <c r="Y33" i="8"/>
  <c r="Q33" i="7"/>
  <c r="AN33" i="7" s="1"/>
  <c r="X33" i="7"/>
  <c r="Y33" i="7"/>
  <c r="N36" i="15" l="1"/>
  <c r="X36" i="15"/>
  <c r="W36" i="15"/>
  <c r="P35" i="15"/>
  <c r="O37" i="14"/>
  <c r="M38" i="14" s="1"/>
  <c r="X37" i="13"/>
  <c r="W37" i="13"/>
  <c r="N37" i="13"/>
  <c r="P36" i="13"/>
  <c r="M34" i="12"/>
  <c r="N34" i="12" s="1"/>
  <c r="AK33" i="11"/>
  <c r="M34" i="11"/>
  <c r="N34" i="11" s="1"/>
  <c r="AM33" i="10"/>
  <c r="O33" i="10"/>
  <c r="P33" i="10" s="1"/>
  <c r="AK33" i="10" s="1"/>
  <c r="AM33" i="9"/>
  <c r="O33" i="9"/>
  <c r="AL37" i="3"/>
  <c r="M38" i="3"/>
  <c r="N38" i="3" s="1"/>
  <c r="O33" i="8"/>
  <c r="AL33" i="8" s="1"/>
  <c r="AM33" i="7"/>
  <c r="O33" i="7"/>
  <c r="P33" i="7" s="1"/>
  <c r="AK33" i="7" s="1"/>
  <c r="O36" i="15" l="1"/>
  <c r="M37" i="15" s="1"/>
  <c r="X38" i="14"/>
  <c r="N38" i="14"/>
  <c r="W38" i="14"/>
  <c r="P37" i="14"/>
  <c r="O37" i="13"/>
  <c r="M38" i="13" s="1"/>
  <c r="W34" i="12"/>
  <c r="X34" i="12"/>
  <c r="W34" i="11"/>
  <c r="X34" i="11"/>
  <c r="AL33" i="10"/>
  <c r="M34" i="10"/>
  <c r="N34" i="10" s="1"/>
  <c r="AL33" i="9"/>
  <c r="M34" i="9"/>
  <c r="N34" i="9" s="1"/>
  <c r="P33" i="9"/>
  <c r="AK33" i="9" s="1"/>
  <c r="Q38" i="3"/>
  <c r="AN38" i="3" s="1"/>
  <c r="Y38" i="3"/>
  <c r="X38" i="3"/>
  <c r="P33" i="8"/>
  <c r="AK33" i="8" s="1"/>
  <c r="M34" i="8"/>
  <c r="N34" i="8" s="1"/>
  <c r="AM34" i="8" s="1"/>
  <c r="AL33" i="7"/>
  <c r="M34" i="7"/>
  <c r="N34" i="7" s="1"/>
  <c r="N37" i="15" l="1"/>
  <c r="X37" i="15"/>
  <c r="W37" i="15"/>
  <c r="P36" i="15"/>
  <c r="O38" i="14"/>
  <c r="M39" i="14" s="1"/>
  <c r="X38" i="13"/>
  <c r="N38" i="13"/>
  <c r="W38" i="13"/>
  <c r="P37" i="13"/>
  <c r="O34" i="12"/>
  <c r="AL34" i="11"/>
  <c r="O34" i="11"/>
  <c r="Q34" i="10"/>
  <c r="AN34" i="10" s="1"/>
  <c r="X34" i="10"/>
  <c r="Y34" i="10"/>
  <c r="Q34" i="9"/>
  <c r="AN34" i="9" s="1"/>
  <c r="Y34" i="9"/>
  <c r="X34" i="9"/>
  <c r="AM38" i="3"/>
  <c r="O38" i="3"/>
  <c r="P38" i="3" s="1"/>
  <c r="AK38" i="3" s="1"/>
  <c r="Q34" i="8"/>
  <c r="AN34" i="8" s="1"/>
  <c r="Y34" i="8"/>
  <c r="X34" i="8"/>
  <c r="Q34" i="7"/>
  <c r="AN34" i="7" s="1"/>
  <c r="X34" i="7"/>
  <c r="Y34" i="7"/>
  <c r="O37" i="15" l="1"/>
  <c r="M38" i="15" s="1"/>
  <c r="W39" i="14"/>
  <c r="X39" i="14"/>
  <c r="N39" i="14"/>
  <c r="P38" i="14"/>
  <c r="O38" i="13"/>
  <c r="M39" i="13" s="1"/>
  <c r="M35" i="12"/>
  <c r="N35" i="12" s="1"/>
  <c r="P34" i="12"/>
  <c r="AK34" i="11"/>
  <c r="M35" i="11"/>
  <c r="N35" i="11" s="1"/>
  <c r="P34" i="11"/>
  <c r="AJ34" i="11" s="1"/>
  <c r="AM34" i="10"/>
  <c r="O34" i="10"/>
  <c r="AM34" i="9"/>
  <c r="O34" i="9"/>
  <c r="AL38" i="3"/>
  <c r="M39" i="3"/>
  <c r="N39" i="3" s="1"/>
  <c r="O34" i="8"/>
  <c r="AL34" i="8" s="1"/>
  <c r="AM34" i="7"/>
  <c r="O34" i="7"/>
  <c r="N38" i="15" l="1"/>
  <c r="X38" i="15"/>
  <c r="W38" i="15"/>
  <c r="P37" i="15"/>
  <c r="O39" i="14"/>
  <c r="M40" i="14" s="1"/>
  <c r="N39" i="13"/>
  <c r="X39" i="13"/>
  <c r="W39" i="13"/>
  <c r="P38" i="13"/>
  <c r="X35" i="12"/>
  <c r="W35" i="12"/>
  <c r="W35" i="11"/>
  <c r="X35" i="11"/>
  <c r="AL34" i="10"/>
  <c r="M35" i="10"/>
  <c r="N35" i="10" s="1"/>
  <c r="P34" i="10"/>
  <c r="AK34" i="10" s="1"/>
  <c r="AL34" i="9"/>
  <c r="M35" i="9"/>
  <c r="P34" i="9"/>
  <c r="AK34" i="9" s="1"/>
  <c r="Q39" i="3"/>
  <c r="AN39" i="3" s="1"/>
  <c r="X39" i="3"/>
  <c r="Y39" i="3"/>
  <c r="P34" i="8"/>
  <c r="AK34" i="8" s="1"/>
  <c r="M35" i="8"/>
  <c r="N35" i="8" s="1"/>
  <c r="AM35" i="8" s="1"/>
  <c r="AL34" i="7"/>
  <c r="M35" i="7"/>
  <c r="N35" i="7" s="1"/>
  <c r="P34" i="7"/>
  <c r="AK34" i="7" s="1"/>
  <c r="O38" i="15" l="1"/>
  <c r="M39" i="15" s="1"/>
  <c r="W40" i="14"/>
  <c r="N40" i="14"/>
  <c r="X40" i="14"/>
  <c r="P39" i="14"/>
  <c r="O39" i="13"/>
  <c r="M40" i="13" s="1"/>
  <c r="O35" i="12"/>
  <c r="AL35" i="11"/>
  <c r="O35" i="11"/>
  <c r="P35" i="11" s="1"/>
  <c r="AJ35" i="11" s="1"/>
  <c r="Q35" i="10"/>
  <c r="AN35" i="10" s="1"/>
  <c r="X35" i="10"/>
  <c r="Y35" i="10"/>
  <c r="Q35" i="9"/>
  <c r="AN35" i="9" s="1"/>
  <c r="N35" i="9"/>
  <c r="X35" i="9"/>
  <c r="Y35" i="9"/>
  <c r="AM39" i="3"/>
  <c r="O39" i="3"/>
  <c r="Q35" i="8"/>
  <c r="AN35" i="8" s="1"/>
  <c r="X35" i="8"/>
  <c r="Y35" i="8"/>
  <c r="Q35" i="7"/>
  <c r="AN35" i="7" s="1"/>
  <c r="X35" i="7"/>
  <c r="Y35" i="7"/>
  <c r="N39" i="15" l="1"/>
  <c r="W39" i="15"/>
  <c r="X39" i="15"/>
  <c r="P38" i="15"/>
  <c r="O40" i="14"/>
  <c r="M41" i="14" s="1"/>
  <c r="N40" i="13"/>
  <c r="X40" i="13"/>
  <c r="W40" i="13"/>
  <c r="P39" i="13"/>
  <c r="M36" i="12"/>
  <c r="N36" i="12" s="1"/>
  <c r="P35" i="12"/>
  <c r="AK35" i="11"/>
  <c r="M36" i="11"/>
  <c r="N36" i="11" s="1"/>
  <c r="AM35" i="10"/>
  <c r="O35" i="10"/>
  <c r="P35" i="10" s="1"/>
  <c r="AK35" i="10" s="1"/>
  <c r="AM35" i="9"/>
  <c r="O35" i="9"/>
  <c r="P35" i="9" s="1"/>
  <c r="AK35" i="9" s="1"/>
  <c r="P39" i="3"/>
  <c r="AK39" i="3" s="1"/>
  <c r="AL39" i="3"/>
  <c r="M40" i="3"/>
  <c r="N40" i="3" s="1"/>
  <c r="O35" i="8"/>
  <c r="AL35" i="8" s="1"/>
  <c r="AM35" i="7"/>
  <c r="O35" i="7"/>
  <c r="O39" i="15" l="1"/>
  <c r="M40" i="15" s="1"/>
  <c r="X41" i="14"/>
  <c r="N41" i="14"/>
  <c r="W41" i="14"/>
  <c r="P40" i="14"/>
  <c r="O40" i="13"/>
  <c r="M41" i="13" s="1"/>
  <c r="W36" i="12"/>
  <c r="X36" i="12"/>
  <c r="W36" i="11"/>
  <c r="X36" i="11"/>
  <c r="AL35" i="10"/>
  <c r="M36" i="10"/>
  <c r="N36" i="10" s="1"/>
  <c r="AL35" i="9"/>
  <c r="M36" i="9"/>
  <c r="X40" i="3"/>
  <c r="Y40" i="3"/>
  <c r="Q40" i="3"/>
  <c r="AN40" i="3" s="1"/>
  <c r="P35" i="8"/>
  <c r="AK35" i="8" s="1"/>
  <c r="M36" i="8"/>
  <c r="N36" i="8" s="1"/>
  <c r="AM36" i="8" s="1"/>
  <c r="AL35" i="7"/>
  <c r="M36" i="7"/>
  <c r="N36" i="7" s="1"/>
  <c r="P35" i="7"/>
  <c r="AK35" i="7" s="1"/>
  <c r="N40" i="15" l="1"/>
  <c r="W40" i="15"/>
  <c r="X40" i="15"/>
  <c r="P39" i="15"/>
  <c r="O41" i="14"/>
  <c r="M42" i="14" s="1"/>
  <c r="X41" i="13"/>
  <c r="N41" i="13"/>
  <c r="W41" i="13"/>
  <c r="P40" i="13"/>
  <c r="O36" i="12"/>
  <c r="AL36" i="11"/>
  <c r="O36" i="11"/>
  <c r="Q36" i="10"/>
  <c r="AN36" i="10" s="1"/>
  <c r="X36" i="10"/>
  <c r="Y36" i="10"/>
  <c r="Q36" i="9"/>
  <c r="AN36" i="9" s="1"/>
  <c r="N36" i="9"/>
  <c r="X36" i="9"/>
  <c r="Y36" i="9"/>
  <c r="AM40" i="3"/>
  <c r="O40" i="3"/>
  <c r="Q36" i="8"/>
  <c r="AN36" i="8" s="1"/>
  <c r="X36" i="8"/>
  <c r="Y36" i="8"/>
  <c r="Q36" i="7"/>
  <c r="AN36" i="7" s="1"/>
  <c r="Y36" i="7"/>
  <c r="X36" i="7"/>
  <c r="O40" i="15" l="1"/>
  <c r="M41" i="15" s="1"/>
  <c r="N42" i="14"/>
  <c r="W42" i="14"/>
  <c r="X42" i="14"/>
  <c r="P41" i="14"/>
  <c r="O41" i="13"/>
  <c r="M42" i="13" s="1"/>
  <c r="M37" i="12"/>
  <c r="N37" i="12" s="1"/>
  <c r="P36" i="12"/>
  <c r="AK36" i="11"/>
  <c r="M37" i="11"/>
  <c r="N37" i="11" s="1"/>
  <c r="P36" i="11"/>
  <c r="AJ36" i="11" s="1"/>
  <c r="AM36" i="10"/>
  <c r="O36" i="10"/>
  <c r="AM36" i="9"/>
  <c r="O36" i="9"/>
  <c r="P36" i="9" s="1"/>
  <c r="AK36" i="9" s="1"/>
  <c r="AL40" i="3"/>
  <c r="M41" i="3"/>
  <c r="N41" i="3" s="1"/>
  <c r="P40" i="3"/>
  <c r="AK40" i="3" s="1"/>
  <c r="O36" i="8"/>
  <c r="AL36" i="8" s="1"/>
  <c r="AM36" i="7"/>
  <c r="O36" i="7"/>
  <c r="N41" i="15" l="1"/>
  <c r="X41" i="15"/>
  <c r="W41" i="15"/>
  <c r="P40" i="15"/>
  <c r="O42" i="14"/>
  <c r="M43" i="14" s="1"/>
  <c r="W42" i="13"/>
  <c r="N42" i="13"/>
  <c r="X42" i="13"/>
  <c r="P41" i="13"/>
  <c r="X37" i="12"/>
  <c r="W37" i="12"/>
  <c r="W37" i="11"/>
  <c r="X37" i="11"/>
  <c r="AL36" i="10"/>
  <c r="M37" i="10"/>
  <c r="N37" i="10" s="1"/>
  <c r="P36" i="10"/>
  <c r="AK36" i="10" s="1"/>
  <c r="AL36" i="9"/>
  <c r="M37" i="9"/>
  <c r="Q41" i="3"/>
  <c r="AN41" i="3" s="1"/>
  <c r="X41" i="3"/>
  <c r="Y41" i="3"/>
  <c r="M37" i="8"/>
  <c r="N37" i="8" s="1"/>
  <c r="AM37" i="8" s="1"/>
  <c r="P36" i="8"/>
  <c r="AK36" i="8" s="1"/>
  <c r="AL36" i="7"/>
  <c r="M37" i="7"/>
  <c r="N37" i="7" s="1"/>
  <c r="P36" i="7"/>
  <c r="AK36" i="7" s="1"/>
  <c r="O41" i="15" l="1"/>
  <c r="M42" i="15" s="1"/>
  <c r="N43" i="14"/>
  <c r="W43" i="14"/>
  <c r="X43" i="14"/>
  <c r="P42" i="14"/>
  <c r="O42" i="13"/>
  <c r="M43" i="13" s="1"/>
  <c r="O37" i="12"/>
  <c r="P37" i="12" s="1"/>
  <c r="AL37" i="11"/>
  <c r="O37" i="11"/>
  <c r="P37" i="11" s="1"/>
  <c r="AJ37" i="11" s="1"/>
  <c r="Q37" i="10"/>
  <c r="AN37" i="10" s="1"/>
  <c r="X37" i="10"/>
  <c r="Y37" i="10"/>
  <c r="Q37" i="9"/>
  <c r="AN37" i="9" s="1"/>
  <c r="N37" i="9"/>
  <c r="Y37" i="9"/>
  <c r="X37" i="9"/>
  <c r="O41" i="3"/>
  <c r="P41" i="3" s="1"/>
  <c r="AK41" i="3" s="1"/>
  <c r="AM41" i="3"/>
  <c r="Q37" i="8"/>
  <c r="AN37" i="8" s="1"/>
  <c r="X37" i="8"/>
  <c r="Y37" i="8"/>
  <c r="Q37" i="7"/>
  <c r="AN37" i="7" s="1"/>
  <c r="X37" i="7"/>
  <c r="Y37" i="7"/>
  <c r="W42" i="15" l="1"/>
  <c r="N42" i="15"/>
  <c r="X42" i="15"/>
  <c r="P41" i="15"/>
  <c r="O43" i="14"/>
  <c r="M44" i="14" s="1"/>
  <c r="W43" i="13"/>
  <c r="X43" i="13"/>
  <c r="N43" i="13"/>
  <c r="P42" i="13"/>
  <c r="M38" i="12"/>
  <c r="N38" i="12" s="1"/>
  <c r="AK37" i="11"/>
  <c r="M38" i="11"/>
  <c r="N38" i="11" s="1"/>
  <c r="AM37" i="10"/>
  <c r="O37" i="10"/>
  <c r="P37" i="10" s="1"/>
  <c r="AK37" i="10" s="1"/>
  <c r="AM37" i="9"/>
  <c r="O37" i="9"/>
  <c r="P37" i="9" s="1"/>
  <c r="AK37" i="9" s="1"/>
  <c r="AL41" i="3"/>
  <c r="M42" i="3"/>
  <c r="N42" i="3" s="1"/>
  <c r="O37" i="8"/>
  <c r="AL37" i="8" s="1"/>
  <c r="AM37" i="7"/>
  <c r="O37" i="7"/>
  <c r="P37" i="7" s="1"/>
  <c r="AK37" i="7" s="1"/>
  <c r="O42" i="15" l="1"/>
  <c r="M43" i="15" s="1"/>
  <c r="W44" i="14"/>
  <c r="N44" i="14"/>
  <c r="X44" i="14"/>
  <c r="P43" i="14"/>
  <c r="O43" i="13"/>
  <c r="M44" i="13" s="1"/>
  <c r="W38" i="12"/>
  <c r="X38" i="12"/>
  <c r="W38" i="11"/>
  <c r="X38" i="11"/>
  <c r="AL37" i="10"/>
  <c r="M38" i="10"/>
  <c r="N38" i="10" s="1"/>
  <c r="AL37" i="9"/>
  <c r="M38" i="9"/>
  <c r="Y42" i="3"/>
  <c r="X42" i="3"/>
  <c r="Q42" i="3"/>
  <c r="AN42" i="3" s="1"/>
  <c r="M38" i="8"/>
  <c r="N38" i="8" s="1"/>
  <c r="AM38" i="8" s="1"/>
  <c r="P37" i="8"/>
  <c r="AK37" i="8" s="1"/>
  <c r="AL37" i="7"/>
  <c r="M38" i="7"/>
  <c r="N38" i="7" s="1"/>
  <c r="N43" i="15" l="1"/>
  <c r="W43" i="15"/>
  <c r="X43" i="15"/>
  <c r="P42" i="15"/>
  <c r="O44" i="14"/>
  <c r="M45" i="14" s="1"/>
  <c r="X44" i="13"/>
  <c r="N44" i="13"/>
  <c r="W44" i="13"/>
  <c r="P43" i="13"/>
  <c r="O38" i="12"/>
  <c r="AL38" i="11"/>
  <c r="O38" i="11"/>
  <c r="P38" i="11" s="1"/>
  <c r="AJ38" i="11" s="1"/>
  <c r="Q38" i="10"/>
  <c r="AN38" i="10" s="1"/>
  <c r="X38" i="10"/>
  <c r="Y38" i="10"/>
  <c r="Q38" i="9"/>
  <c r="AN38" i="9" s="1"/>
  <c r="N38" i="9"/>
  <c r="Y38" i="9"/>
  <c r="X38" i="9"/>
  <c r="AM42" i="3"/>
  <c r="O42" i="3"/>
  <c r="Q38" i="8"/>
  <c r="AN38" i="8" s="1"/>
  <c r="X38" i="8"/>
  <c r="Y38" i="8"/>
  <c r="Q38" i="7"/>
  <c r="AN38" i="7" s="1"/>
  <c r="X38" i="7"/>
  <c r="Y38" i="7"/>
  <c r="O43" i="15" l="1"/>
  <c r="M44" i="15" s="1"/>
  <c r="P44" i="14"/>
  <c r="N45" i="14"/>
  <c r="W45" i="14"/>
  <c r="X45" i="14"/>
  <c r="O44" i="13"/>
  <c r="M45" i="13" s="1"/>
  <c r="M39" i="12"/>
  <c r="N39" i="12" s="1"/>
  <c r="P38" i="12"/>
  <c r="AK38" i="11"/>
  <c r="M39" i="11"/>
  <c r="N39" i="11" s="1"/>
  <c r="AM38" i="10"/>
  <c r="O38" i="10"/>
  <c r="P38" i="10" s="1"/>
  <c r="AK38" i="10" s="1"/>
  <c r="AM38" i="9"/>
  <c r="O38" i="9"/>
  <c r="P42" i="3"/>
  <c r="AK42" i="3" s="1"/>
  <c r="AL42" i="3"/>
  <c r="M43" i="3"/>
  <c r="N43" i="3" s="1"/>
  <c r="O38" i="8"/>
  <c r="AL38" i="8" s="1"/>
  <c r="AM38" i="7"/>
  <c r="O38" i="7"/>
  <c r="N44" i="15" l="1"/>
  <c r="X44" i="15"/>
  <c r="W44" i="15"/>
  <c r="P43" i="15"/>
  <c r="O45" i="14"/>
  <c r="M46" i="14" s="1"/>
  <c r="P44" i="13"/>
  <c r="N45" i="13"/>
  <c r="X45" i="13"/>
  <c r="W45" i="13"/>
  <c r="O39" i="12"/>
  <c r="X39" i="12"/>
  <c r="W39" i="12"/>
  <c r="W39" i="11"/>
  <c r="X39" i="11"/>
  <c r="AL38" i="10"/>
  <c r="M39" i="10"/>
  <c r="N39" i="10" s="1"/>
  <c r="AL38" i="9"/>
  <c r="M39" i="9"/>
  <c r="P38" i="9"/>
  <c r="AK38" i="9" s="1"/>
  <c r="X43" i="3"/>
  <c r="Y43" i="3"/>
  <c r="Q43" i="3"/>
  <c r="AN43" i="3" s="1"/>
  <c r="M39" i="8"/>
  <c r="N39" i="8" s="1"/>
  <c r="AM39" i="8" s="1"/>
  <c r="P38" i="8"/>
  <c r="AK38" i="8" s="1"/>
  <c r="AL38" i="7"/>
  <c r="M39" i="7"/>
  <c r="N39" i="7" s="1"/>
  <c r="P38" i="7"/>
  <c r="AK38" i="7" s="1"/>
  <c r="O44" i="15" l="1"/>
  <c r="M45" i="15" s="1"/>
  <c r="W46" i="14"/>
  <c r="N46" i="14"/>
  <c r="X46" i="14"/>
  <c r="P45" i="14"/>
  <c r="O45" i="13"/>
  <c r="M46" i="13" s="1"/>
  <c r="P39" i="12"/>
  <c r="M40" i="12"/>
  <c r="N40" i="12" s="1"/>
  <c r="AL39" i="11"/>
  <c r="O39" i="11"/>
  <c r="P39" i="11" s="1"/>
  <c r="AJ39" i="11" s="1"/>
  <c r="Q39" i="10"/>
  <c r="AN39" i="10" s="1"/>
  <c r="X39" i="10"/>
  <c r="Y39" i="10"/>
  <c r="Q39" i="9"/>
  <c r="AN39" i="9" s="1"/>
  <c r="N39" i="9"/>
  <c r="X39" i="9"/>
  <c r="Y39" i="9"/>
  <c r="O43" i="3"/>
  <c r="AM43" i="3"/>
  <c r="Q39" i="8"/>
  <c r="AN39" i="8" s="1"/>
  <c r="X39" i="8"/>
  <c r="Y39" i="8"/>
  <c r="Q39" i="7"/>
  <c r="AN39" i="7" s="1"/>
  <c r="X39" i="7"/>
  <c r="Y39" i="7"/>
  <c r="W45" i="15" l="1"/>
  <c r="X45" i="15"/>
  <c r="N45" i="15"/>
  <c r="P44" i="15"/>
  <c r="O46" i="14"/>
  <c r="M47" i="14" s="1"/>
  <c r="N46" i="13"/>
  <c r="W46" i="13"/>
  <c r="X46" i="13"/>
  <c r="P45" i="13"/>
  <c r="W40" i="12"/>
  <c r="X40" i="12"/>
  <c r="AK39" i="11"/>
  <c r="M40" i="11"/>
  <c r="N40" i="11" s="1"/>
  <c r="AM39" i="10"/>
  <c r="O39" i="10"/>
  <c r="P39" i="10" s="1"/>
  <c r="AK39" i="10" s="1"/>
  <c r="AM39" i="9"/>
  <c r="O39" i="9"/>
  <c r="P39" i="9" s="1"/>
  <c r="AK39" i="9" s="1"/>
  <c r="AL43" i="3"/>
  <c r="M44" i="3"/>
  <c r="N44" i="3" s="1"/>
  <c r="P43" i="3"/>
  <c r="AK43" i="3" s="1"/>
  <c r="O39" i="8"/>
  <c r="AL39" i="8" s="1"/>
  <c r="AM39" i="7"/>
  <c r="O39" i="7"/>
  <c r="O45" i="15" l="1"/>
  <c r="M46" i="15" s="1"/>
  <c r="X47" i="14"/>
  <c r="N47" i="14"/>
  <c r="W47" i="14"/>
  <c r="P46" i="14"/>
  <c r="O46" i="13"/>
  <c r="M47" i="13" s="1"/>
  <c r="O40" i="12"/>
  <c r="M41" i="12" s="1"/>
  <c r="N41" i="12" s="1"/>
  <c r="W40" i="11"/>
  <c r="X40" i="11"/>
  <c r="AL39" i="10"/>
  <c r="M40" i="10"/>
  <c r="N40" i="10" s="1"/>
  <c r="AL39" i="9"/>
  <c r="M40" i="9"/>
  <c r="X44" i="3"/>
  <c r="Y44" i="3"/>
  <c r="Q44" i="3"/>
  <c r="AN44" i="3" s="1"/>
  <c r="P39" i="8"/>
  <c r="AK39" i="8" s="1"/>
  <c r="M40" i="8"/>
  <c r="N40" i="8" s="1"/>
  <c r="AM40" i="8" s="1"/>
  <c r="AL39" i="7"/>
  <c r="M40" i="7"/>
  <c r="N40" i="7" s="1"/>
  <c r="P39" i="7"/>
  <c r="AK39" i="7" s="1"/>
  <c r="N46" i="15" l="1"/>
  <c r="W46" i="15"/>
  <c r="X46" i="15"/>
  <c r="P45" i="15"/>
  <c r="O47" i="14"/>
  <c r="M48" i="14" s="1"/>
  <c r="W47" i="13"/>
  <c r="N47" i="13"/>
  <c r="X47" i="13"/>
  <c r="P46" i="13"/>
  <c r="W41" i="12"/>
  <c r="X41" i="12"/>
  <c r="P40" i="12"/>
  <c r="O40" i="11"/>
  <c r="Q40" i="10"/>
  <c r="AN40" i="10" s="1"/>
  <c r="Y40" i="10"/>
  <c r="X40" i="10"/>
  <c r="Q40" i="9"/>
  <c r="AN40" i="9" s="1"/>
  <c r="N40" i="9"/>
  <c r="X40" i="9"/>
  <c r="Y40" i="9"/>
  <c r="AM44" i="3"/>
  <c r="O44" i="3"/>
  <c r="Q40" i="8"/>
  <c r="AN40" i="8" s="1"/>
  <c r="Y40" i="8"/>
  <c r="X40" i="8"/>
  <c r="Q40" i="7"/>
  <c r="AN40" i="7" s="1"/>
  <c r="X40" i="7"/>
  <c r="Y40" i="7"/>
  <c r="O46" i="15" l="1"/>
  <c r="M47" i="15" s="1"/>
  <c r="N48" i="14"/>
  <c r="W48" i="14"/>
  <c r="X48" i="14"/>
  <c r="P47" i="14"/>
  <c r="O47" i="13"/>
  <c r="M48" i="13" s="1"/>
  <c r="O41" i="12"/>
  <c r="M42" i="12" s="1"/>
  <c r="N42" i="12" s="1"/>
  <c r="M41" i="11"/>
  <c r="N41" i="11" s="1"/>
  <c r="P40" i="11"/>
  <c r="AM40" i="10"/>
  <c r="O40" i="10"/>
  <c r="AM40" i="9"/>
  <c r="O40" i="9"/>
  <c r="P44" i="3"/>
  <c r="AK44" i="3" s="1"/>
  <c r="AL44" i="3"/>
  <c r="M45" i="3"/>
  <c r="N45" i="3" s="1"/>
  <c r="O40" i="8"/>
  <c r="AL40" i="8" s="1"/>
  <c r="AM40" i="7"/>
  <c r="O40" i="7"/>
  <c r="W47" i="15" l="1"/>
  <c r="N47" i="15"/>
  <c r="X47" i="15"/>
  <c r="P46" i="15"/>
  <c r="O48" i="14"/>
  <c r="M49" i="14" s="1"/>
  <c r="W48" i="13"/>
  <c r="N48" i="13"/>
  <c r="X48" i="13"/>
  <c r="P47" i="13"/>
  <c r="W42" i="12"/>
  <c r="X42" i="12"/>
  <c r="P41" i="12"/>
  <c r="X41" i="11"/>
  <c r="W41" i="11"/>
  <c r="AL40" i="10"/>
  <c r="M41" i="10"/>
  <c r="N41" i="10" s="1"/>
  <c r="P40" i="10"/>
  <c r="AK40" i="10" s="1"/>
  <c r="AL40" i="9"/>
  <c r="M41" i="9"/>
  <c r="P40" i="9"/>
  <c r="AK40" i="9" s="1"/>
  <c r="X45" i="3"/>
  <c r="Y45" i="3"/>
  <c r="Q45" i="3"/>
  <c r="AN45" i="3" s="1"/>
  <c r="M41" i="8"/>
  <c r="N41" i="8" s="1"/>
  <c r="AM41" i="8" s="1"/>
  <c r="P40" i="8"/>
  <c r="AK40" i="8" s="1"/>
  <c r="AL40" i="7"/>
  <c r="M41" i="7"/>
  <c r="N41" i="7" s="1"/>
  <c r="P40" i="7"/>
  <c r="AK40" i="7" s="1"/>
  <c r="O47" i="15" l="1"/>
  <c r="M48" i="15" s="1"/>
  <c r="N49" i="14"/>
  <c r="W49" i="14"/>
  <c r="X49" i="14"/>
  <c r="P48" i="14"/>
  <c r="O48" i="13"/>
  <c r="M49" i="13" s="1"/>
  <c r="O42" i="12"/>
  <c r="M43" i="12" s="1"/>
  <c r="N43" i="12" s="1"/>
  <c r="O41" i="11"/>
  <c r="P41" i="11" s="1"/>
  <c r="Q41" i="10"/>
  <c r="AN41" i="10" s="1"/>
  <c r="X41" i="10"/>
  <c r="Y41" i="10"/>
  <c r="Q41" i="9"/>
  <c r="AN41" i="9" s="1"/>
  <c r="N41" i="9"/>
  <c r="X41" i="9"/>
  <c r="Y41" i="9"/>
  <c r="AM45" i="3"/>
  <c r="O45" i="3"/>
  <c r="Q41" i="8"/>
  <c r="AN41" i="8" s="1"/>
  <c r="Y41" i="8"/>
  <c r="X41" i="8"/>
  <c r="Q41" i="7"/>
  <c r="AN41" i="7" s="1"/>
  <c r="X41" i="7"/>
  <c r="Y41" i="7"/>
  <c r="P47" i="15" l="1"/>
  <c r="N48" i="15"/>
  <c r="X48" i="15"/>
  <c r="W48" i="15"/>
  <c r="O49" i="14"/>
  <c r="M50" i="14" s="1"/>
  <c r="N49" i="13"/>
  <c r="W49" i="13"/>
  <c r="X49" i="13"/>
  <c r="P48" i="13"/>
  <c r="W43" i="12"/>
  <c r="X43" i="12"/>
  <c r="P42" i="12"/>
  <c r="M42" i="11"/>
  <c r="N42" i="11" s="1"/>
  <c r="AM41" i="10"/>
  <c r="O41" i="10"/>
  <c r="P41" i="10" s="1"/>
  <c r="AK41" i="10" s="1"/>
  <c r="AM41" i="9"/>
  <c r="O41" i="9"/>
  <c r="P45" i="3"/>
  <c r="AK45" i="3" s="1"/>
  <c r="AL45" i="3"/>
  <c r="M46" i="3"/>
  <c r="N46" i="3" s="1"/>
  <c r="O41" i="8"/>
  <c r="AL41" i="8" s="1"/>
  <c r="AM41" i="7"/>
  <c r="O41" i="7"/>
  <c r="O48" i="15" l="1"/>
  <c r="M49" i="15" s="1"/>
  <c r="W50" i="14"/>
  <c r="N50" i="14"/>
  <c r="X50" i="14"/>
  <c r="P49" i="14"/>
  <c r="O49" i="13"/>
  <c r="M50" i="13" s="1"/>
  <c r="O43" i="12"/>
  <c r="M44" i="12" s="1"/>
  <c r="N44" i="12" s="1"/>
  <c r="W42" i="11"/>
  <c r="X42" i="11"/>
  <c r="AL41" i="10"/>
  <c r="M42" i="10"/>
  <c r="N42" i="10" s="1"/>
  <c r="AL41" i="9"/>
  <c r="M42" i="9"/>
  <c r="P41" i="9"/>
  <c r="AK41" i="9" s="1"/>
  <c r="Q46" i="3"/>
  <c r="AN46" i="3" s="1"/>
  <c r="X46" i="3"/>
  <c r="Y46" i="3"/>
  <c r="M42" i="8"/>
  <c r="N42" i="8" s="1"/>
  <c r="AM42" i="8" s="1"/>
  <c r="P41" i="8"/>
  <c r="AK41" i="8" s="1"/>
  <c r="AL41" i="7"/>
  <c r="M42" i="7"/>
  <c r="N42" i="7" s="1"/>
  <c r="P41" i="7"/>
  <c r="AK41" i="7" s="1"/>
  <c r="W49" i="15" l="1"/>
  <c r="X49" i="15"/>
  <c r="N49" i="15"/>
  <c r="P48" i="15"/>
  <c r="O50" i="14"/>
  <c r="M51" i="14" s="1"/>
  <c r="N50" i="13"/>
  <c r="W50" i="13"/>
  <c r="X50" i="13"/>
  <c r="P49" i="13"/>
  <c r="W44" i="12"/>
  <c r="X44" i="12"/>
  <c r="P43" i="12"/>
  <c r="O42" i="11"/>
  <c r="P42" i="11" s="1"/>
  <c r="Q42" i="10"/>
  <c r="AN42" i="10" s="1"/>
  <c r="X42" i="10"/>
  <c r="Y42" i="10"/>
  <c r="Q42" i="9"/>
  <c r="AN42" i="9" s="1"/>
  <c r="N42" i="9"/>
  <c r="X42" i="9"/>
  <c r="Y42" i="9"/>
  <c r="AM46" i="3"/>
  <c r="O46" i="3"/>
  <c r="Q42" i="8"/>
  <c r="AN42" i="8" s="1"/>
  <c r="X42" i="8"/>
  <c r="Y42" i="8"/>
  <c r="Q42" i="7"/>
  <c r="AN42" i="7" s="1"/>
  <c r="Y42" i="7"/>
  <c r="X42" i="7"/>
  <c r="O49" i="15" l="1"/>
  <c r="M50" i="15" s="1"/>
  <c r="N51" i="14"/>
  <c r="X51" i="14"/>
  <c r="W51" i="14"/>
  <c r="P50" i="14"/>
  <c r="O50" i="13"/>
  <c r="M51" i="13" s="1"/>
  <c r="O44" i="12"/>
  <c r="M45" i="12" s="1"/>
  <c r="N45" i="12" s="1"/>
  <c r="M43" i="11"/>
  <c r="N43" i="11" s="1"/>
  <c r="AM42" i="10"/>
  <c r="O42" i="10"/>
  <c r="P42" i="10" s="1"/>
  <c r="AK42" i="10" s="1"/>
  <c r="AM42" i="9"/>
  <c r="O42" i="9"/>
  <c r="AL46" i="3"/>
  <c r="M47" i="3"/>
  <c r="N47" i="3" s="1"/>
  <c r="P46" i="3"/>
  <c r="AK46" i="3" s="1"/>
  <c r="O42" i="8"/>
  <c r="AL42" i="8" s="1"/>
  <c r="AM42" i="7"/>
  <c r="O42" i="7"/>
  <c r="N50" i="15" l="1"/>
  <c r="W50" i="15"/>
  <c r="X50" i="15"/>
  <c r="P49" i="15"/>
  <c r="O51" i="14"/>
  <c r="M52" i="14" s="1"/>
  <c r="N51" i="13"/>
  <c r="X51" i="13"/>
  <c r="W51" i="13"/>
  <c r="P50" i="13"/>
  <c r="X45" i="12"/>
  <c r="W45" i="12"/>
  <c r="P44" i="12"/>
  <c r="W43" i="11"/>
  <c r="X43" i="11"/>
  <c r="AL42" i="10"/>
  <c r="M43" i="10"/>
  <c r="N43" i="10" s="1"/>
  <c r="AL42" i="9"/>
  <c r="M43" i="9"/>
  <c r="N43" i="9" s="1"/>
  <c r="P42" i="9"/>
  <c r="AK42" i="9" s="1"/>
  <c r="Q47" i="3"/>
  <c r="AN47" i="3" s="1"/>
  <c r="X47" i="3"/>
  <c r="Y47" i="3"/>
  <c r="M43" i="8"/>
  <c r="N43" i="8" s="1"/>
  <c r="AM43" i="8" s="1"/>
  <c r="P42" i="8"/>
  <c r="AK42" i="8" s="1"/>
  <c r="AL42" i="7"/>
  <c r="M43" i="7"/>
  <c r="N43" i="7" s="1"/>
  <c r="P42" i="7"/>
  <c r="AK42" i="7" s="1"/>
  <c r="O50" i="15" l="1"/>
  <c r="M51" i="15" s="1"/>
  <c r="N52" i="14"/>
  <c r="W52" i="14"/>
  <c r="X52" i="14"/>
  <c r="P51" i="14"/>
  <c r="O51" i="13"/>
  <c r="M52" i="13" s="1"/>
  <c r="O45" i="12"/>
  <c r="M46" i="12" s="1"/>
  <c r="N46" i="12" s="1"/>
  <c r="O43" i="11"/>
  <c r="P43" i="11" s="1"/>
  <c r="Q43" i="10"/>
  <c r="AN43" i="10" s="1"/>
  <c r="Y43" i="10"/>
  <c r="X43" i="10"/>
  <c r="Q43" i="9"/>
  <c r="AN43" i="9" s="1"/>
  <c r="X43" i="9"/>
  <c r="Y43" i="9"/>
  <c r="AM47" i="3"/>
  <c r="O47" i="3"/>
  <c r="Q43" i="8"/>
  <c r="AN43" i="8" s="1"/>
  <c r="X43" i="8"/>
  <c r="Y43" i="8"/>
  <c r="Q43" i="7"/>
  <c r="AN43" i="7" s="1"/>
  <c r="Y43" i="7"/>
  <c r="X43" i="7"/>
  <c r="N51" i="15" l="1"/>
  <c r="W51" i="15"/>
  <c r="X51" i="15"/>
  <c r="P50" i="15"/>
  <c r="O52" i="14"/>
  <c r="M53" i="14" s="1"/>
  <c r="N52" i="13"/>
  <c r="W52" i="13"/>
  <c r="X52" i="13"/>
  <c r="P51" i="13"/>
  <c r="W46" i="12"/>
  <c r="X46" i="12"/>
  <c r="P45" i="12"/>
  <c r="M44" i="11"/>
  <c r="N44" i="11" s="1"/>
  <c r="AM43" i="10"/>
  <c r="O43" i="10"/>
  <c r="AM43" i="9"/>
  <c r="O43" i="9"/>
  <c r="P47" i="3"/>
  <c r="AK47" i="3" s="1"/>
  <c r="AL47" i="3"/>
  <c r="M48" i="3"/>
  <c r="N48" i="3" s="1"/>
  <c r="O43" i="8"/>
  <c r="AL43" i="8" s="1"/>
  <c r="AM43" i="7"/>
  <c r="O43" i="7"/>
  <c r="O51" i="15" l="1"/>
  <c r="M52" i="15" s="1"/>
  <c r="W53" i="14"/>
  <c r="N53" i="14"/>
  <c r="X53" i="14"/>
  <c r="P52" i="14"/>
  <c r="O52" i="13"/>
  <c r="M53" i="13" s="1"/>
  <c r="O46" i="12"/>
  <c r="M47" i="12" s="1"/>
  <c r="N47" i="12" s="1"/>
  <c r="X44" i="11"/>
  <c r="W44" i="11"/>
  <c r="AL43" i="10"/>
  <c r="M44" i="10"/>
  <c r="N44" i="10" s="1"/>
  <c r="P43" i="10"/>
  <c r="AK43" i="10" s="1"/>
  <c r="AL43" i="9"/>
  <c r="M44" i="9"/>
  <c r="P43" i="9"/>
  <c r="AK43" i="9" s="1"/>
  <c r="X48" i="3"/>
  <c r="Y48" i="3"/>
  <c r="Q48" i="3"/>
  <c r="AN48" i="3" s="1"/>
  <c r="P43" i="8"/>
  <c r="AK43" i="8" s="1"/>
  <c r="M44" i="8"/>
  <c r="N44" i="8" s="1"/>
  <c r="AM44" i="8" s="1"/>
  <c r="AL43" i="7"/>
  <c r="M44" i="7"/>
  <c r="N44" i="7" s="1"/>
  <c r="P43" i="7"/>
  <c r="AK43" i="7" s="1"/>
  <c r="N52" i="15" l="1"/>
  <c r="W52" i="15"/>
  <c r="X52" i="15"/>
  <c r="P51" i="15"/>
  <c r="O53" i="14"/>
  <c r="M54" i="14" s="1"/>
  <c r="N53" i="13"/>
  <c r="W53" i="13"/>
  <c r="X53" i="13"/>
  <c r="P52" i="13"/>
  <c r="W47" i="12"/>
  <c r="X47" i="12"/>
  <c r="P46" i="12"/>
  <c r="O44" i="11"/>
  <c r="P44" i="11" s="1"/>
  <c r="Q44" i="10"/>
  <c r="AN44" i="10" s="1"/>
  <c r="X44" i="10"/>
  <c r="Y44" i="10"/>
  <c r="Q44" i="9"/>
  <c r="AN44" i="9" s="1"/>
  <c r="N44" i="9"/>
  <c r="X44" i="9"/>
  <c r="Y44" i="9"/>
  <c r="O48" i="3"/>
  <c r="AM48" i="3"/>
  <c r="Q44" i="8"/>
  <c r="AN44" i="8" s="1"/>
  <c r="X44" i="8"/>
  <c r="Y44" i="8"/>
  <c r="Q44" i="7"/>
  <c r="AN44" i="7" s="1"/>
  <c r="X44" i="7"/>
  <c r="Y44" i="7"/>
  <c r="O52" i="15" l="1"/>
  <c r="M53" i="15" s="1"/>
  <c r="W54" i="14"/>
  <c r="X54" i="14"/>
  <c r="N54" i="14"/>
  <c r="P53" i="14"/>
  <c r="O53" i="13"/>
  <c r="M54" i="13" s="1"/>
  <c r="O47" i="12"/>
  <c r="M48" i="12" s="1"/>
  <c r="N48" i="12" s="1"/>
  <c r="M45" i="11"/>
  <c r="N45" i="11" s="1"/>
  <c r="AM44" i="10"/>
  <c r="O44" i="10"/>
  <c r="P44" i="10" s="1"/>
  <c r="AK44" i="10" s="1"/>
  <c r="AM44" i="9"/>
  <c r="O44" i="9"/>
  <c r="P48" i="3"/>
  <c r="AK48" i="3" s="1"/>
  <c r="AL48" i="3"/>
  <c r="M49" i="3"/>
  <c r="N49" i="3" s="1"/>
  <c r="O44" i="8"/>
  <c r="AL44" i="8" s="1"/>
  <c r="AM44" i="7"/>
  <c r="O44" i="7"/>
  <c r="X53" i="15" l="1"/>
  <c r="W53" i="15"/>
  <c r="N53" i="15"/>
  <c r="P52" i="15"/>
  <c r="O54" i="14"/>
  <c r="M55" i="14" s="1"/>
  <c r="W54" i="13"/>
  <c r="X54" i="13"/>
  <c r="N54" i="13"/>
  <c r="P53" i="13"/>
  <c r="W48" i="12"/>
  <c r="X48" i="12"/>
  <c r="P47" i="12"/>
  <c r="X45" i="11"/>
  <c r="W45" i="11"/>
  <c r="AL44" i="10"/>
  <c r="M45" i="10"/>
  <c r="N45" i="10" s="1"/>
  <c r="AL44" i="9"/>
  <c r="M45" i="9"/>
  <c r="P44" i="9"/>
  <c r="AK44" i="9" s="1"/>
  <c r="X49" i="3"/>
  <c r="Y49" i="3"/>
  <c r="Q49" i="3"/>
  <c r="AN49" i="3" s="1"/>
  <c r="P44" i="8"/>
  <c r="AK44" i="8" s="1"/>
  <c r="M45" i="8"/>
  <c r="N45" i="8" s="1"/>
  <c r="AM45" i="8" s="1"/>
  <c r="AL44" i="7"/>
  <c r="M45" i="7"/>
  <c r="N45" i="7" s="1"/>
  <c r="P44" i="7"/>
  <c r="AK44" i="7" s="1"/>
  <c r="O53" i="15" l="1"/>
  <c r="M54" i="15" s="1"/>
  <c r="W55" i="14"/>
  <c r="X55" i="14"/>
  <c r="N55" i="14"/>
  <c r="P54" i="14"/>
  <c r="O54" i="13"/>
  <c r="M55" i="13" s="1"/>
  <c r="O48" i="12"/>
  <c r="M49" i="12" s="1"/>
  <c r="N49" i="12" s="1"/>
  <c r="O45" i="11"/>
  <c r="P45" i="11" s="1"/>
  <c r="Q45" i="10"/>
  <c r="AN45" i="10" s="1"/>
  <c r="Y45" i="10"/>
  <c r="X45" i="10"/>
  <c r="Q45" i="9"/>
  <c r="AN45" i="9" s="1"/>
  <c r="N45" i="9"/>
  <c r="Y45" i="9"/>
  <c r="X45" i="9"/>
  <c r="AM49" i="3"/>
  <c r="O49" i="3"/>
  <c r="Q45" i="8"/>
  <c r="AN45" i="8" s="1"/>
  <c r="X45" i="8"/>
  <c r="Y45" i="8"/>
  <c r="Q45" i="7"/>
  <c r="AN45" i="7" s="1"/>
  <c r="X45" i="7"/>
  <c r="Y45" i="7"/>
  <c r="N54" i="15" l="1"/>
  <c r="W54" i="15"/>
  <c r="X54" i="15"/>
  <c r="P53" i="15"/>
  <c r="O55" i="14"/>
  <c r="M56" i="14" s="1"/>
  <c r="N55" i="13"/>
  <c r="X55" i="13"/>
  <c r="W55" i="13"/>
  <c r="P54" i="13"/>
  <c r="W49" i="12"/>
  <c r="X49" i="12"/>
  <c r="P48" i="12"/>
  <c r="M46" i="11"/>
  <c r="N46" i="11" s="1"/>
  <c r="AM45" i="10"/>
  <c r="O45" i="10"/>
  <c r="P45" i="10" s="1"/>
  <c r="AK45" i="10" s="1"/>
  <c r="AM45" i="9"/>
  <c r="O45" i="9"/>
  <c r="P49" i="3"/>
  <c r="AK49" i="3" s="1"/>
  <c r="AL49" i="3"/>
  <c r="M50" i="3"/>
  <c r="N50" i="3" s="1"/>
  <c r="O45" i="8"/>
  <c r="AL45" i="8" s="1"/>
  <c r="AM45" i="7"/>
  <c r="O45" i="7"/>
  <c r="O54" i="15" l="1"/>
  <c r="M55" i="15" s="1"/>
  <c r="W56" i="14"/>
  <c r="X56" i="14"/>
  <c r="N56" i="14"/>
  <c r="P55" i="14"/>
  <c r="O55" i="13"/>
  <c r="M56" i="13" s="1"/>
  <c r="O49" i="12"/>
  <c r="M50" i="12" s="1"/>
  <c r="N50" i="12" s="1"/>
  <c r="W46" i="11"/>
  <c r="X46" i="11"/>
  <c r="AL45" i="10"/>
  <c r="M46" i="10"/>
  <c r="N46" i="10" s="1"/>
  <c r="AL45" i="9"/>
  <c r="M46" i="9"/>
  <c r="P45" i="9"/>
  <c r="AK45" i="9" s="1"/>
  <c r="Q50" i="3"/>
  <c r="AN50" i="3" s="1"/>
  <c r="X50" i="3"/>
  <c r="Y50" i="3"/>
  <c r="M46" i="8"/>
  <c r="N46" i="8" s="1"/>
  <c r="AM46" i="8" s="1"/>
  <c r="P45" i="8"/>
  <c r="AK45" i="8" s="1"/>
  <c r="AL45" i="7"/>
  <c r="M46" i="7"/>
  <c r="N46" i="7" s="1"/>
  <c r="P45" i="7"/>
  <c r="AK45" i="7" s="1"/>
  <c r="X55" i="15" l="1"/>
  <c r="W55" i="15"/>
  <c r="N55" i="15"/>
  <c r="P54" i="15"/>
  <c r="O56" i="14"/>
  <c r="M57" i="14" s="1"/>
  <c r="W56" i="13"/>
  <c r="N56" i="13"/>
  <c r="X56" i="13"/>
  <c r="P55" i="13"/>
  <c r="X50" i="12"/>
  <c r="W50" i="12"/>
  <c r="P49" i="12"/>
  <c r="O46" i="11"/>
  <c r="Q46" i="10"/>
  <c r="AN46" i="10" s="1"/>
  <c r="X46" i="10"/>
  <c r="Y46" i="10"/>
  <c r="Q46" i="9"/>
  <c r="AN46" i="9" s="1"/>
  <c r="N46" i="9"/>
  <c r="X46" i="9"/>
  <c r="Y46" i="9"/>
  <c r="AM50" i="3"/>
  <c r="O50" i="3"/>
  <c r="Q46" i="8"/>
  <c r="AN46" i="8" s="1"/>
  <c r="X46" i="8"/>
  <c r="Y46" i="8"/>
  <c r="Q46" i="7"/>
  <c r="AN46" i="7" s="1"/>
  <c r="X46" i="7"/>
  <c r="Y46" i="7"/>
  <c r="O55" i="15" l="1"/>
  <c r="M56" i="15" s="1"/>
  <c r="W57" i="14"/>
  <c r="N57" i="14"/>
  <c r="X57" i="14"/>
  <c r="P56" i="14"/>
  <c r="O56" i="13"/>
  <c r="M57" i="13" s="1"/>
  <c r="O50" i="12"/>
  <c r="M51" i="12" s="1"/>
  <c r="N51" i="12" s="1"/>
  <c r="M47" i="11"/>
  <c r="N47" i="11" s="1"/>
  <c r="P46" i="11"/>
  <c r="AM46" i="10"/>
  <c r="O46" i="10"/>
  <c r="AM46" i="9"/>
  <c r="O46" i="9"/>
  <c r="AL50" i="3"/>
  <c r="M51" i="3"/>
  <c r="N51" i="3" s="1"/>
  <c r="P50" i="3"/>
  <c r="AK50" i="3" s="1"/>
  <c r="O46" i="8"/>
  <c r="AL46" i="8" s="1"/>
  <c r="AM46" i="7"/>
  <c r="O46" i="7"/>
  <c r="N56" i="15" l="1"/>
  <c r="X56" i="15"/>
  <c r="W56" i="15"/>
  <c r="P55" i="15"/>
  <c r="O57" i="14"/>
  <c r="M58" i="14" s="1"/>
  <c r="W57" i="13"/>
  <c r="N57" i="13"/>
  <c r="X57" i="13"/>
  <c r="P56" i="13"/>
  <c r="X51" i="12"/>
  <c r="W51" i="12"/>
  <c r="P50" i="12"/>
  <c r="W47" i="11"/>
  <c r="X47" i="11"/>
  <c r="AL46" i="10"/>
  <c r="M47" i="10"/>
  <c r="N47" i="10" s="1"/>
  <c r="P46" i="10"/>
  <c r="AK46" i="10" s="1"/>
  <c r="AL46" i="9"/>
  <c r="M47" i="9"/>
  <c r="N47" i="9" s="1"/>
  <c r="P46" i="9"/>
  <c r="AK46" i="9" s="1"/>
  <c r="Q51" i="3"/>
  <c r="AN51" i="3" s="1"/>
  <c r="X51" i="3"/>
  <c r="Y51" i="3"/>
  <c r="M47" i="8"/>
  <c r="N47" i="8" s="1"/>
  <c r="AM47" i="8" s="1"/>
  <c r="P46" i="8"/>
  <c r="AK46" i="8" s="1"/>
  <c r="AL46" i="7"/>
  <c r="M47" i="7"/>
  <c r="N47" i="7" s="1"/>
  <c r="P46" i="7"/>
  <c r="AK46" i="7" s="1"/>
  <c r="O56" i="15" l="1"/>
  <c r="M57" i="15" s="1"/>
  <c r="N58" i="14"/>
  <c r="W58" i="14"/>
  <c r="X58" i="14"/>
  <c r="P57" i="14"/>
  <c r="O57" i="13"/>
  <c r="M58" i="13" s="1"/>
  <c r="O51" i="12"/>
  <c r="M52" i="12" s="1"/>
  <c r="N52" i="12" s="1"/>
  <c r="O47" i="11"/>
  <c r="P47" i="11" s="1"/>
  <c r="Q47" i="10"/>
  <c r="AN47" i="10" s="1"/>
  <c r="Y47" i="10"/>
  <c r="X47" i="10"/>
  <c r="Q47" i="9"/>
  <c r="AN47" i="9" s="1"/>
  <c r="Y47" i="9"/>
  <c r="X47" i="9"/>
  <c r="O51" i="3"/>
  <c r="AM51" i="3"/>
  <c r="Q47" i="8"/>
  <c r="AN47" i="8" s="1"/>
  <c r="X47" i="8"/>
  <c r="Y47" i="8"/>
  <c r="Q47" i="7"/>
  <c r="AN47" i="7" s="1"/>
  <c r="X47" i="7"/>
  <c r="Y47" i="7"/>
  <c r="X57" i="15" l="1"/>
  <c r="N57" i="15"/>
  <c r="W57" i="15"/>
  <c r="P56" i="15"/>
  <c r="O58" i="14"/>
  <c r="M59" i="14" s="1"/>
  <c r="N58" i="13"/>
  <c r="X58" i="13"/>
  <c r="W58" i="13"/>
  <c r="P57" i="13"/>
  <c r="X52" i="12"/>
  <c r="W52" i="12"/>
  <c r="P51" i="12"/>
  <c r="M48" i="11"/>
  <c r="N48" i="11" s="1"/>
  <c r="AM47" i="10"/>
  <c r="O47" i="10"/>
  <c r="P47" i="10" s="1"/>
  <c r="AK47" i="10" s="1"/>
  <c r="AM47" i="9"/>
  <c r="O47" i="9"/>
  <c r="P47" i="9" s="1"/>
  <c r="AK47" i="9" s="1"/>
  <c r="P51" i="3"/>
  <c r="AK51" i="3" s="1"/>
  <c r="AL51" i="3"/>
  <c r="M52" i="3"/>
  <c r="N52" i="3" s="1"/>
  <c r="O47" i="8"/>
  <c r="AL47" i="8" s="1"/>
  <c r="AM47" i="7"/>
  <c r="O47" i="7"/>
  <c r="O57" i="15" l="1"/>
  <c r="M58" i="15" s="1"/>
  <c r="N59" i="14"/>
  <c r="W59" i="14"/>
  <c r="X59" i="14"/>
  <c r="P58" i="14"/>
  <c r="O58" i="13"/>
  <c r="M59" i="13" s="1"/>
  <c r="O52" i="12"/>
  <c r="M53" i="12" s="1"/>
  <c r="N53" i="12" s="1"/>
  <c r="X48" i="11"/>
  <c r="W48" i="11"/>
  <c r="AL47" i="10"/>
  <c r="M48" i="10"/>
  <c r="N48" i="10" s="1"/>
  <c r="AL47" i="9"/>
  <c r="M48" i="9"/>
  <c r="Q52" i="3"/>
  <c r="AN52" i="3" s="1"/>
  <c r="X52" i="3"/>
  <c r="Y52" i="3"/>
  <c r="M48" i="8"/>
  <c r="N48" i="8" s="1"/>
  <c r="AM48" i="8" s="1"/>
  <c r="P47" i="8"/>
  <c r="AK47" i="8" s="1"/>
  <c r="AL47" i="7"/>
  <c r="M48" i="7"/>
  <c r="N48" i="7" s="1"/>
  <c r="P47" i="7"/>
  <c r="AK47" i="7" s="1"/>
  <c r="N58" i="15" l="1"/>
  <c r="X58" i="15"/>
  <c r="W58" i="15"/>
  <c r="P57" i="15"/>
  <c r="O59" i="14"/>
  <c r="M60" i="14" s="1"/>
  <c r="W59" i="13"/>
  <c r="N59" i="13"/>
  <c r="X59" i="13"/>
  <c r="P58" i="13"/>
  <c r="W53" i="12"/>
  <c r="X53" i="12"/>
  <c r="P52" i="12"/>
  <c r="O48" i="11"/>
  <c r="Q48" i="10"/>
  <c r="AN48" i="10" s="1"/>
  <c r="X48" i="10"/>
  <c r="Y48" i="10"/>
  <c r="Q48" i="9"/>
  <c r="AN48" i="9" s="1"/>
  <c r="N48" i="9"/>
  <c r="X48" i="9"/>
  <c r="Y48" i="9"/>
  <c r="AM52" i="3"/>
  <c r="O52" i="3"/>
  <c r="Q48" i="8"/>
  <c r="AN48" i="8" s="1"/>
  <c r="Y48" i="8"/>
  <c r="X48" i="8"/>
  <c r="Q48" i="7"/>
  <c r="AN48" i="7" s="1"/>
  <c r="X48" i="7"/>
  <c r="Y48" i="7"/>
  <c r="O58" i="15" l="1"/>
  <c r="M59" i="15" s="1"/>
  <c r="W60" i="14"/>
  <c r="N60" i="14"/>
  <c r="X60" i="14"/>
  <c r="P59" i="14"/>
  <c r="O59" i="13"/>
  <c r="M60" i="13" s="1"/>
  <c r="O53" i="12"/>
  <c r="M54" i="12" s="1"/>
  <c r="N54" i="12" s="1"/>
  <c r="M49" i="11"/>
  <c r="N49" i="11" s="1"/>
  <c r="P48" i="11"/>
  <c r="AM48" i="10"/>
  <c r="O48" i="10"/>
  <c r="P48" i="10" s="1"/>
  <c r="AK48" i="10" s="1"/>
  <c r="AM48" i="9"/>
  <c r="O48" i="9"/>
  <c r="P48" i="9" s="1"/>
  <c r="AK48" i="9" s="1"/>
  <c r="P52" i="3"/>
  <c r="AK52" i="3" s="1"/>
  <c r="AL52" i="3"/>
  <c r="M53" i="3"/>
  <c r="N53" i="3" s="1"/>
  <c r="O48" i="8"/>
  <c r="AL48" i="8" s="1"/>
  <c r="AM48" i="7"/>
  <c r="O48" i="7"/>
  <c r="X59" i="15" l="1"/>
  <c r="W59" i="15"/>
  <c r="N59" i="15"/>
  <c r="P58" i="15"/>
  <c r="O60" i="14"/>
  <c r="M61" i="14" s="1"/>
  <c r="X60" i="13"/>
  <c r="W60" i="13"/>
  <c r="N60" i="13"/>
  <c r="P59" i="13"/>
  <c r="W54" i="12"/>
  <c r="X54" i="12"/>
  <c r="P53" i="12"/>
  <c r="W49" i="11"/>
  <c r="X49" i="11"/>
  <c r="AL48" i="10"/>
  <c r="M49" i="10"/>
  <c r="N49" i="10" s="1"/>
  <c r="AL48" i="9"/>
  <c r="M49" i="9"/>
  <c r="Y53" i="3"/>
  <c r="X53" i="3"/>
  <c r="Q53" i="3"/>
  <c r="AN53" i="3" s="1"/>
  <c r="M49" i="8"/>
  <c r="N49" i="8" s="1"/>
  <c r="AM49" i="8" s="1"/>
  <c r="P48" i="8"/>
  <c r="AK48" i="8" s="1"/>
  <c r="AL48" i="7"/>
  <c r="M49" i="7"/>
  <c r="N49" i="7" s="1"/>
  <c r="P48" i="7"/>
  <c r="AK48" i="7" s="1"/>
  <c r="O59" i="15" l="1"/>
  <c r="M60" i="15" s="1"/>
  <c r="N61" i="14"/>
  <c r="X61" i="14"/>
  <c r="W61" i="14"/>
  <c r="P60" i="14"/>
  <c r="O60" i="13"/>
  <c r="M61" i="13" s="1"/>
  <c r="O54" i="12"/>
  <c r="M55" i="12" s="1"/>
  <c r="N55" i="12" s="1"/>
  <c r="O49" i="11"/>
  <c r="P49" i="11" s="1"/>
  <c r="Q49" i="10"/>
  <c r="AN49" i="10" s="1"/>
  <c r="X49" i="10"/>
  <c r="Y49" i="10"/>
  <c r="Q49" i="9"/>
  <c r="AN49" i="9" s="1"/>
  <c r="N49" i="9"/>
  <c r="X49" i="9"/>
  <c r="Y49" i="9"/>
  <c r="AM53" i="3"/>
  <c r="O53" i="3"/>
  <c r="P53" i="3" s="1"/>
  <c r="AK53" i="3" s="1"/>
  <c r="Q49" i="8"/>
  <c r="AN49" i="8" s="1"/>
  <c r="X49" i="8"/>
  <c r="Y49" i="8"/>
  <c r="Q49" i="7"/>
  <c r="AN49" i="7" s="1"/>
  <c r="Y49" i="7"/>
  <c r="X49" i="7"/>
  <c r="N60" i="15" l="1"/>
  <c r="X60" i="15"/>
  <c r="W60" i="15"/>
  <c r="P59" i="15"/>
  <c r="O61" i="14"/>
  <c r="M62" i="14" s="1"/>
  <c r="P60" i="13"/>
  <c r="N61" i="13"/>
  <c r="W61" i="13"/>
  <c r="X61" i="13"/>
  <c r="W55" i="12"/>
  <c r="X55" i="12"/>
  <c r="P54" i="12"/>
  <c r="M50" i="11"/>
  <c r="N50" i="11" s="1"/>
  <c r="AM49" i="10"/>
  <c r="O49" i="10"/>
  <c r="AM49" i="9"/>
  <c r="O49" i="9"/>
  <c r="AL53" i="3"/>
  <c r="M54" i="3"/>
  <c r="O49" i="8"/>
  <c r="AL49" i="8" s="1"/>
  <c r="AM49" i="7"/>
  <c r="O49" i="7"/>
  <c r="P49" i="7" s="1"/>
  <c r="AK49" i="7" s="1"/>
  <c r="O60" i="15" l="1"/>
  <c r="M61" i="15" s="1"/>
  <c r="W62" i="14"/>
  <c r="X62" i="14"/>
  <c r="N62" i="14"/>
  <c r="P61" i="14"/>
  <c r="O61" i="13"/>
  <c r="M62" i="13" s="1"/>
  <c r="O55" i="12"/>
  <c r="M56" i="12" s="1"/>
  <c r="N56" i="12" s="1"/>
  <c r="W50" i="11"/>
  <c r="X50" i="11"/>
  <c r="AL49" i="10"/>
  <c r="M50" i="10"/>
  <c r="N50" i="10" s="1"/>
  <c r="P49" i="10"/>
  <c r="AK49" i="10" s="1"/>
  <c r="AL49" i="9"/>
  <c r="M50" i="9"/>
  <c r="P49" i="9"/>
  <c r="AK49" i="9" s="1"/>
  <c r="Y54" i="3"/>
  <c r="X54" i="3"/>
  <c r="N54" i="3" s="1"/>
  <c r="Q54" i="3"/>
  <c r="AN54" i="3" s="1"/>
  <c r="M50" i="8"/>
  <c r="N50" i="8" s="1"/>
  <c r="AM50" i="8" s="1"/>
  <c r="P49" i="8"/>
  <c r="AK49" i="8" s="1"/>
  <c r="AL49" i="7"/>
  <c r="M50" i="7"/>
  <c r="N50" i="7" s="1"/>
  <c r="X61" i="15" l="1"/>
  <c r="N61" i="15"/>
  <c r="W61" i="15"/>
  <c r="P60" i="15"/>
  <c r="O62" i="14"/>
  <c r="M63" i="14" s="1"/>
  <c r="P61" i="13"/>
  <c r="N62" i="13"/>
  <c r="X62" i="13"/>
  <c r="W62" i="13"/>
  <c r="W56" i="12"/>
  <c r="X56" i="12"/>
  <c r="P55" i="12"/>
  <c r="O50" i="11"/>
  <c r="Q50" i="10"/>
  <c r="AN50" i="10" s="1"/>
  <c r="X50" i="10"/>
  <c r="Y50" i="10"/>
  <c r="Q50" i="9"/>
  <c r="AN50" i="9" s="1"/>
  <c r="N50" i="9"/>
  <c r="X50" i="9"/>
  <c r="Y50" i="9"/>
  <c r="O54" i="3"/>
  <c r="AM54" i="3"/>
  <c r="Q50" i="8"/>
  <c r="AN50" i="8" s="1"/>
  <c r="X50" i="8"/>
  <c r="Y50" i="8"/>
  <c r="Q50" i="7"/>
  <c r="AN50" i="7" s="1"/>
  <c r="X50" i="7"/>
  <c r="Y50" i="7"/>
  <c r="O61" i="15" l="1"/>
  <c r="M62" i="15" s="1"/>
  <c r="N63" i="14"/>
  <c r="W63" i="14"/>
  <c r="X63" i="14"/>
  <c r="P62" i="14"/>
  <c r="O62" i="13"/>
  <c r="M63" i="13" s="1"/>
  <c r="O56" i="12"/>
  <c r="M57" i="12" s="1"/>
  <c r="N57" i="12" s="1"/>
  <c r="M51" i="11"/>
  <c r="N51" i="11" s="1"/>
  <c r="P50" i="11"/>
  <c r="AM50" i="10"/>
  <c r="O50" i="10"/>
  <c r="AM50" i="9"/>
  <c r="O50" i="9"/>
  <c r="P54" i="3"/>
  <c r="AK54" i="3" s="1"/>
  <c r="AL54" i="3"/>
  <c r="M55" i="3"/>
  <c r="N55" i="3" s="1"/>
  <c r="O50" i="8"/>
  <c r="AL50" i="8" s="1"/>
  <c r="AM50" i="7"/>
  <c r="O50" i="7"/>
  <c r="W62" i="15" l="1"/>
  <c r="N62" i="15"/>
  <c r="X62" i="15"/>
  <c r="P61" i="15"/>
  <c r="O63" i="14"/>
  <c r="M64" i="14" s="1"/>
  <c r="N63" i="13"/>
  <c r="X63" i="13"/>
  <c r="W63" i="13"/>
  <c r="P62" i="13"/>
  <c r="X57" i="12"/>
  <c r="W57" i="12"/>
  <c r="P56" i="12"/>
  <c r="W51" i="11"/>
  <c r="X51" i="11"/>
  <c r="AL50" i="10"/>
  <c r="M51" i="10"/>
  <c r="N51" i="10" s="1"/>
  <c r="P50" i="10"/>
  <c r="AK50" i="10" s="1"/>
  <c r="AL50" i="9"/>
  <c r="M51" i="9"/>
  <c r="P50" i="9"/>
  <c r="AK50" i="9" s="1"/>
  <c r="Q55" i="3"/>
  <c r="AN55" i="3" s="1"/>
  <c r="X55" i="3"/>
  <c r="Y55" i="3"/>
  <c r="M51" i="8"/>
  <c r="N51" i="8" s="1"/>
  <c r="AM51" i="8" s="1"/>
  <c r="P50" i="8"/>
  <c r="AK50" i="8" s="1"/>
  <c r="AL50" i="7"/>
  <c r="M51" i="7"/>
  <c r="N51" i="7" s="1"/>
  <c r="P50" i="7"/>
  <c r="AK50" i="7" s="1"/>
  <c r="O62" i="15" l="1"/>
  <c r="M63" i="15" s="1"/>
  <c r="W64" i="14"/>
  <c r="N64" i="14"/>
  <c r="X64" i="14"/>
  <c r="P63" i="14"/>
  <c r="O63" i="13"/>
  <c r="M64" i="13" s="1"/>
  <c r="O57" i="12"/>
  <c r="M58" i="12" s="1"/>
  <c r="N58" i="12" s="1"/>
  <c r="O51" i="11"/>
  <c r="P51" i="11" s="1"/>
  <c r="Q51" i="10"/>
  <c r="AN51" i="10" s="1"/>
  <c r="X51" i="10"/>
  <c r="Y51" i="10"/>
  <c r="Q51" i="9"/>
  <c r="AN51" i="9" s="1"/>
  <c r="N51" i="9"/>
  <c r="X51" i="9"/>
  <c r="Y51" i="9"/>
  <c r="AM55" i="3"/>
  <c r="O55" i="3"/>
  <c r="Q51" i="8"/>
  <c r="AN51" i="8" s="1"/>
  <c r="X51" i="8"/>
  <c r="Y51" i="8"/>
  <c r="Q51" i="7"/>
  <c r="AN51" i="7" s="1"/>
  <c r="Y51" i="7"/>
  <c r="X51" i="7"/>
  <c r="N63" i="15" l="1"/>
  <c r="W63" i="15"/>
  <c r="X63" i="15"/>
  <c r="P62" i="15"/>
  <c r="O64" i="14"/>
  <c r="M65" i="14" s="1"/>
  <c r="P63" i="13"/>
  <c r="X64" i="13"/>
  <c r="N64" i="13"/>
  <c r="W64" i="13"/>
  <c r="P57" i="12"/>
  <c r="W58" i="12"/>
  <c r="X58" i="12"/>
  <c r="M52" i="11"/>
  <c r="N52" i="11" s="1"/>
  <c r="AM51" i="10"/>
  <c r="O51" i="10"/>
  <c r="P51" i="10" s="1"/>
  <c r="AK51" i="10" s="1"/>
  <c r="AM51" i="9"/>
  <c r="O51" i="9"/>
  <c r="P55" i="3"/>
  <c r="AK55" i="3" s="1"/>
  <c r="AL55" i="3"/>
  <c r="M56" i="3"/>
  <c r="N56" i="3" s="1"/>
  <c r="O51" i="8"/>
  <c r="AL51" i="8" s="1"/>
  <c r="AM51" i="7"/>
  <c r="O51" i="7"/>
  <c r="O63" i="15" l="1"/>
  <c r="M64" i="15" s="1"/>
  <c r="X65" i="14"/>
  <c r="W65" i="14"/>
  <c r="N65" i="14"/>
  <c r="P64" i="14"/>
  <c r="O64" i="13"/>
  <c r="M65" i="13" s="1"/>
  <c r="O58" i="12"/>
  <c r="M59" i="12" s="1"/>
  <c r="N59" i="12" s="1"/>
  <c r="W52" i="11"/>
  <c r="X52" i="11"/>
  <c r="AL51" i="10"/>
  <c r="M52" i="10"/>
  <c r="N52" i="10" s="1"/>
  <c r="AL51" i="9"/>
  <c r="M52" i="9"/>
  <c r="P51" i="9"/>
  <c r="AK51" i="9" s="1"/>
  <c r="Q56" i="3"/>
  <c r="AN56" i="3" s="1"/>
  <c r="X56" i="3"/>
  <c r="Y56" i="3"/>
  <c r="M52" i="8"/>
  <c r="N52" i="8" s="1"/>
  <c r="AM52" i="8" s="1"/>
  <c r="P51" i="8"/>
  <c r="AK51" i="8" s="1"/>
  <c r="AL51" i="7"/>
  <c r="M52" i="7"/>
  <c r="N52" i="7" s="1"/>
  <c r="P51" i="7"/>
  <c r="AK51" i="7" s="1"/>
  <c r="N64" i="15" l="1"/>
  <c r="W64" i="15"/>
  <c r="X64" i="15"/>
  <c r="P63" i="15"/>
  <c r="O65" i="14"/>
  <c r="M66" i="14" s="1"/>
  <c r="P64" i="13"/>
  <c r="W65" i="13"/>
  <c r="N65" i="13"/>
  <c r="X65" i="13"/>
  <c r="X59" i="12"/>
  <c r="W59" i="12"/>
  <c r="P58" i="12"/>
  <c r="O52" i="11"/>
  <c r="P52" i="11" s="1"/>
  <c r="Q52" i="10"/>
  <c r="AN52" i="10" s="1"/>
  <c r="X52" i="10"/>
  <c r="Y52" i="10"/>
  <c r="Q52" i="9"/>
  <c r="AN52" i="9" s="1"/>
  <c r="N52" i="9"/>
  <c r="X52" i="9"/>
  <c r="Y52" i="9"/>
  <c r="AM56" i="3"/>
  <c r="O56" i="3"/>
  <c r="Q52" i="8"/>
  <c r="AN52" i="8" s="1"/>
  <c r="Y52" i="8"/>
  <c r="X52" i="8"/>
  <c r="Q52" i="7"/>
  <c r="AN52" i="7" s="1"/>
  <c r="X52" i="7"/>
  <c r="Y52" i="7"/>
  <c r="O64" i="15" l="1"/>
  <c r="M65" i="15" s="1"/>
  <c r="W66" i="14"/>
  <c r="N66" i="14"/>
  <c r="X66" i="14"/>
  <c r="P65" i="14"/>
  <c r="O65" i="13"/>
  <c r="M66" i="13" s="1"/>
  <c r="O59" i="12"/>
  <c r="M60" i="12" s="1"/>
  <c r="N60" i="12" s="1"/>
  <c r="M53" i="11"/>
  <c r="N53" i="11" s="1"/>
  <c r="AM52" i="10"/>
  <c r="O52" i="10"/>
  <c r="P52" i="10" s="1"/>
  <c r="AK52" i="10" s="1"/>
  <c r="AM52" i="9"/>
  <c r="O52" i="9"/>
  <c r="P56" i="3"/>
  <c r="AK56" i="3" s="1"/>
  <c r="AL56" i="3"/>
  <c r="M57" i="3"/>
  <c r="N57" i="3" s="1"/>
  <c r="O52" i="8"/>
  <c r="AL52" i="8" s="1"/>
  <c r="AM52" i="7"/>
  <c r="O52" i="7"/>
  <c r="N65" i="15" l="1"/>
  <c r="W65" i="15"/>
  <c r="X65" i="15"/>
  <c r="P64" i="15"/>
  <c r="O66" i="14"/>
  <c r="M67" i="14" s="1"/>
  <c r="P65" i="13"/>
  <c r="W66" i="13"/>
  <c r="N66" i="13"/>
  <c r="X66" i="13"/>
  <c r="W60" i="12"/>
  <c r="X60" i="12"/>
  <c r="P59" i="12"/>
  <c r="X53" i="11"/>
  <c r="W53" i="11"/>
  <c r="AL52" i="10"/>
  <c r="M53" i="10"/>
  <c r="N53" i="10" s="1"/>
  <c r="AL52" i="9"/>
  <c r="M53" i="9"/>
  <c r="P52" i="9"/>
  <c r="AK52" i="9" s="1"/>
  <c r="Q57" i="3"/>
  <c r="AN57" i="3" s="1"/>
  <c r="X57" i="3"/>
  <c r="Y57" i="3"/>
  <c r="P52" i="8"/>
  <c r="AK52" i="8" s="1"/>
  <c r="M53" i="8"/>
  <c r="N53" i="8" s="1"/>
  <c r="AM53" i="8" s="1"/>
  <c r="AL52" i="7"/>
  <c r="M53" i="7"/>
  <c r="N53" i="7" s="1"/>
  <c r="P52" i="7"/>
  <c r="AK52" i="7" s="1"/>
  <c r="O65" i="15" l="1"/>
  <c r="M66" i="15" s="1"/>
  <c r="N67" i="14"/>
  <c r="W67" i="14"/>
  <c r="X67" i="14"/>
  <c r="P66" i="14"/>
  <c r="O66" i="13"/>
  <c r="M67" i="13" s="1"/>
  <c r="O60" i="12"/>
  <c r="M61" i="12" s="1"/>
  <c r="N61" i="12" s="1"/>
  <c r="O53" i="11"/>
  <c r="P53" i="11" s="1"/>
  <c r="Q53" i="10"/>
  <c r="AN53" i="10" s="1"/>
  <c r="X53" i="10"/>
  <c r="Y53" i="10"/>
  <c r="Q53" i="9"/>
  <c r="AN53" i="9" s="1"/>
  <c r="N53" i="9"/>
  <c r="X53" i="9"/>
  <c r="Y53" i="9"/>
  <c r="O57" i="3"/>
  <c r="AM57" i="3"/>
  <c r="Q53" i="8"/>
  <c r="AN53" i="8" s="1"/>
  <c r="Y53" i="8"/>
  <c r="X53" i="8"/>
  <c r="Q53" i="7"/>
  <c r="AN53" i="7" s="1"/>
  <c r="X53" i="7"/>
  <c r="Y53" i="7"/>
  <c r="N66" i="15" l="1"/>
  <c r="W66" i="15"/>
  <c r="X66" i="15"/>
  <c r="P65" i="15"/>
  <c r="O67" i="14"/>
  <c r="M68" i="14" s="1"/>
  <c r="P66" i="13"/>
  <c r="X67" i="13"/>
  <c r="W67" i="13"/>
  <c r="N67" i="13"/>
  <c r="W61" i="12"/>
  <c r="X61" i="12"/>
  <c r="P60" i="12"/>
  <c r="M54" i="11"/>
  <c r="N54" i="11" s="1"/>
  <c r="AM53" i="10"/>
  <c r="O53" i="10"/>
  <c r="P53" i="10" s="1"/>
  <c r="AK53" i="10" s="1"/>
  <c r="AM53" i="9"/>
  <c r="O53" i="9"/>
  <c r="P57" i="3"/>
  <c r="AK57" i="3" s="1"/>
  <c r="AL57" i="3"/>
  <c r="M58" i="3"/>
  <c r="N58" i="3" s="1"/>
  <c r="O53" i="8"/>
  <c r="AL53" i="8" s="1"/>
  <c r="AM53" i="7"/>
  <c r="O53" i="7"/>
  <c r="P53" i="7" s="1"/>
  <c r="AK53" i="7" s="1"/>
  <c r="O66" i="15" l="1"/>
  <c r="M67" i="15" s="1"/>
  <c r="N68" i="14"/>
  <c r="X68" i="14"/>
  <c r="W68" i="14"/>
  <c r="P67" i="14"/>
  <c r="O67" i="13"/>
  <c r="M68" i="13" s="1"/>
  <c r="O61" i="12"/>
  <c r="M62" i="12" s="1"/>
  <c r="N62" i="12" s="1"/>
  <c r="W54" i="11"/>
  <c r="X54" i="11"/>
  <c r="AL53" i="10"/>
  <c r="M54" i="10"/>
  <c r="AL53" i="9"/>
  <c r="M54" i="9"/>
  <c r="N54" i="9" s="1"/>
  <c r="P53" i="9"/>
  <c r="AK53" i="9" s="1"/>
  <c r="Q58" i="3"/>
  <c r="AN58" i="3" s="1"/>
  <c r="X58" i="3"/>
  <c r="Y58" i="3"/>
  <c r="M54" i="8"/>
  <c r="P53" i="8"/>
  <c r="AK53" i="8" s="1"/>
  <c r="AL53" i="7"/>
  <c r="M54" i="7"/>
  <c r="X67" i="15" l="1"/>
  <c r="N67" i="15"/>
  <c r="W67" i="15"/>
  <c r="P66" i="15"/>
  <c r="O68" i="14"/>
  <c r="M69" i="14" s="1"/>
  <c r="P67" i="13"/>
  <c r="N68" i="13"/>
  <c r="X68" i="13"/>
  <c r="W68" i="13"/>
  <c r="W62" i="12"/>
  <c r="X62" i="12"/>
  <c r="P61" i="12"/>
  <c r="Q54" i="10"/>
  <c r="AN54" i="10" s="1"/>
  <c r="X54" i="10"/>
  <c r="Y54" i="10"/>
  <c r="Q54" i="9"/>
  <c r="AN54" i="9" s="1"/>
  <c r="Y54" i="9"/>
  <c r="X54" i="9"/>
  <c r="AM58" i="3"/>
  <c r="O58" i="3"/>
  <c r="Q54" i="8"/>
  <c r="AN54" i="8" s="1"/>
  <c r="Y54" i="8"/>
  <c r="X54" i="8"/>
  <c r="Q54" i="7"/>
  <c r="AN54" i="7" s="1"/>
  <c r="X54" i="7"/>
  <c r="N54" i="7" s="1"/>
  <c r="Y54" i="7"/>
  <c r="O67" i="15" l="1"/>
  <c r="M68" i="15" s="1"/>
  <c r="W69" i="14"/>
  <c r="X69" i="14"/>
  <c r="N69" i="14"/>
  <c r="P68" i="14"/>
  <c r="O68" i="13"/>
  <c r="M69" i="13" s="1"/>
  <c r="O62" i="12"/>
  <c r="M63" i="12" s="1"/>
  <c r="N63" i="12" s="1"/>
  <c r="O54" i="11"/>
  <c r="N54" i="10"/>
  <c r="AM54" i="10" s="1"/>
  <c r="AM54" i="9"/>
  <c r="AL58" i="3"/>
  <c r="M59" i="3"/>
  <c r="N59" i="3" s="1"/>
  <c r="P58" i="3"/>
  <c r="AK58" i="3" s="1"/>
  <c r="N54" i="8"/>
  <c r="AM54" i="8" s="1"/>
  <c r="AM54" i="7"/>
  <c r="O54" i="7"/>
  <c r="W68" i="15" l="1"/>
  <c r="X68" i="15"/>
  <c r="N68" i="15"/>
  <c r="P67" i="15"/>
  <c r="O69" i="14"/>
  <c r="P69" i="14" s="1"/>
  <c r="P68" i="13"/>
  <c r="W69" i="13"/>
  <c r="X69" i="13"/>
  <c r="N69" i="13"/>
  <c r="W63" i="12"/>
  <c r="X63" i="12"/>
  <c r="P62" i="12"/>
  <c r="P54" i="11"/>
  <c r="M55" i="11"/>
  <c r="O54" i="10"/>
  <c r="AL54" i="10" s="1"/>
  <c r="O54" i="9"/>
  <c r="AL54" i="9" s="1"/>
  <c r="Q59" i="3"/>
  <c r="AN59" i="3" s="1"/>
  <c r="X59" i="3"/>
  <c r="Y59" i="3"/>
  <c r="O54" i="8"/>
  <c r="AL54" i="8" s="1"/>
  <c r="AL54" i="7"/>
  <c r="M55" i="7"/>
  <c r="N55" i="7" s="1"/>
  <c r="P54" i="7"/>
  <c r="AK54" i="7" s="1"/>
  <c r="O68" i="15" l="1"/>
  <c r="M69" i="15" s="1"/>
  <c r="O69" i="13"/>
  <c r="P69" i="13" s="1"/>
  <c r="O63" i="12"/>
  <c r="M64" i="12" s="1"/>
  <c r="N64" i="12" s="1"/>
  <c r="X55" i="11"/>
  <c r="N55" i="11"/>
  <c r="W55" i="11"/>
  <c r="P54" i="10"/>
  <c r="AK54" i="10" s="1"/>
  <c r="M55" i="10"/>
  <c r="N55" i="10" s="1"/>
  <c r="P54" i="9"/>
  <c r="AK54" i="9" s="1"/>
  <c r="M55" i="9"/>
  <c r="Y55" i="9" s="1"/>
  <c r="N55" i="9"/>
  <c r="O59" i="3"/>
  <c r="AM59" i="3"/>
  <c r="P54" i="8"/>
  <c r="AK54" i="8" s="1"/>
  <c r="M55" i="8"/>
  <c r="N55" i="8" s="1"/>
  <c r="AM55" i="8" s="1"/>
  <c r="Q55" i="7"/>
  <c r="AN55" i="7" s="1"/>
  <c r="X55" i="7"/>
  <c r="Y55" i="7"/>
  <c r="Q55" i="10" l="1"/>
  <c r="AN55" i="10" s="1"/>
  <c r="X69" i="15"/>
  <c r="W69" i="15"/>
  <c r="N69" i="15"/>
  <c r="P68" i="15"/>
  <c r="W64" i="12"/>
  <c r="X64" i="12"/>
  <c r="P63" i="12"/>
  <c r="O55" i="11"/>
  <c r="P55" i="11" s="1"/>
  <c r="Y55" i="10"/>
  <c r="X55" i="10"/>
  <c r="AM55" i="10"/>
  <c r="O55" i="10"/>
  <c r="Q55" i="9"/>
  <c r="AN55" i="9" s="1"/>
  <c r="X55" i="9"/>
  <c r="AM55" i="9"/>
  <c r="O55" i="9"/>
  <c r="P55" i="9" s="1"/>
  <c r="AK55" i="9" s="1"/>
  <c r="P59" i="3"/>
  <c r="AK59" i="3" s="1"/>
  <c r="AL59" i="3"/>
  <c r="M60" i="3"/>
  <c r="N60" i="3" s="1"/>
  <c r="Q55" i="8"/>
  <c r="AN55" i="8" s="1"/>
  <c r="X55" i="8"/>
  <c r="O55" i="8"/>
  <c r="AL55" i="8" s="1"/>
  <c r="Y55" i="8"/>
  <c r="AM55" i="7"/>
  <c r="O55" i="7"/>
  <c r="O69" i="15" l="1"/>
  <c r="P69" i="15" s="1"/>
  <c r="O64" i="12"/>
  <c r="M65" i="12" s="1"/>
  <c r="N65" i="12" s="1"/>
  <c r="M56" i="11"/>
  <c r="N56" i="11" s="1"/>
  <c r="AL55" i="10"/>
  <c r="M56" i="10"/>
  <c r="N56" i="10" s="1"/>
  <c r="P55" i="10"/>
  <c r="AK55" i="10" s="1"/>
  <c r="AL55" i="9"/>
  <c r="M56" i="9"/>
  <c r="Y60" i="3"/>
  <c r="X60" i="3"/>
  <c r="Q60" i="3"/>
  <c r="AN60" i="3" s="1"/>
  <c r="M56" i="8"/>
  <c r="N56" i="8" s="1"/>
  <c r="AM56" i="8" s="1"/>
  <c r="P55" i="8"/>
  <c r="AK55" i="8" s="1"/>
  <c r="AL55" i="7"/>
  <c r="M56" i="7"/>
  <c r="N56" i="7" s="1"/>
  <c r="P55" i="7"/>
  <c r="AK55" i="7" s="1"/>
  <c r="W65" i="12" l="1"/>
  <c r="X65" i="12"/>
  <c r="P64" i="12"/>
  <c r="X56" i="11"/>
  <c r="W56" i="11"/>
  <c r="O56" i="11"/>
  <c r="P56" i="11" s="1"/>
  <c r="Q56" i="10"/>
  <c r="AN56" i="10" s="1"/>
  <c r="X56" i="10"/>
  <c r="Y56" i="10"/>
  <c r="Q56" i="9"/>
  <c r="AN56" i="9" s="1"/>
  <c r="N56" i="9"/>
  <c r="X56" i="9"/>
  <c r="Y56" i="9"/>
  <c r="AM60" i="3"/>
  <c r="O60" i="3"/>
  <c r="Q56" i="8"/>
  <c r="AN56" i="8" s="1"/>
  <c r="X56" i="8"/>
  <c r="Y56" i="8"/>
  <c r="Q56" i="7"/>
  <c r="AN56" i="7" s="1"/>
  <c r="Y56" i="7"/>
  <c r="X56" i="7"/>
  <c r="O65" i="12" l="1"/>
  <c r="M66" i="12" s="1"/>
  <c r="N66" i="12" s="1"/>
  <c r="M57" i="11"/>
  <c r="N57" i="11" s="1"/>
  <c r="AM56" i="10"/>
  <c r="O56" i="10"/>
  <c r="P56" i="10" s="1"/>
  <c r="AK56" i="10" s="1"/>
  <c r="AM56" i="9"/>
  <c r="O56" i="9"/>
  <c r="P60" i="3"/>
  <c r="AK60" i="3" s="1"/>
  <c r="AL60" i="3"/>
  <c r="M61" i="3"/>
  <c r="N61" i="3" s="1"/>
  <c r="O56" i="8"/>
  <c r="AL56" i="8" s="1"/>
  <c r="AM56" i="7"/>
  <c r="O56" i="7"/>
  <c r="W66" i="12" l="1"/>
  <c r="X66" i="12"/>
  <c r="P65" i="12"/>
  <c r="W57" i="11"/>
  <c r="X57" i="11"/>
  <c r="AL56" i="10"/>
  <c r="M57" i="10"/>
  <c r="N57" i="10" s="1"/>
  <c r="AL56" i="9"/>
  <c r="M57" i="9"/>
  <c r="P56" i="9"/>
  <c r="AK56" i="9" s="1"/>
  <c r="Q61" i="3"/>
  <c r="AN61" i="3" s="1"/>
  <c r="X61" i="3"/>
  <c r="Y61" i="3"/>
  <c r="M57" i="8"/>
  <c r="N57" i="8" s="1"/>
  <c r="AM57" i="8" s="1"/>
  <c r="P56" i="8"/>
  <c r="AK56" i="8" s="1"/>
  <c r="AL56" i="7"/>
  <c r="M57" i="7"/>
  <c r="N57" i="7" s="1"/>
  <c r="P56" i="7"/>
  <c r="AK56" i="7" s="1"/>
  <c r="O66" i="12" l="1"/>
  <c r="M67" i="12" s="1"/>
  <c r="N67" i="12" s="1"/>
  <c r="O57" i="11"/>
  <c r="P57" i="11" s="1"/>
  <c r="Q57" i="10"/>
  <c r="AN57" i="10" s="1"/>
  <c r="X57" i="10"/>
  <c r="Y57" i="10"/>
  <c r="Q57" i="9"/>
  <c r="AN57" i="9" s="1"/>
  <c r="N57" i="9"/>
  <c r="X57" i="9"/>
  <c r="Y57" i="9"/>
  <c r="AM61" i="3"/>
  <c r="O61" i="3"/>
  <c r="Q57" i="8"/>
  <c r="AN57" i="8" s="1"/>
  <c r="X57" i="8"/>
  <c r="Y57" i="8"/>
  <c r="Q57" i="7"/>
  <c r="AN57" i="7" s="1"/>
  <c r="X57" i="7"/>
  <c r="Y57" i="7"/>
  <c r="W67" i="12" l="1"/>
  <c r="X67" i="12"/>
  <c r="P66" i="12"/>
  <c r="M58" i="11"/>
  <c r="N58" i="11" s="1"/>
  <c r="AM57" i="10"/>
  <c r="O57" i="10"/>
  <c r="P57" i="10" s="1"/>
  <c r="AK57" i="10" s="1"/>
  <c r="AM57" i="9"/>
  <c r="O57" i="9"/>
  <c r="P61" i="3"/>
  <c r="AK61" i="3" s="1"/>
  <c r="AL61" i="3"/>
  <c r="M62" i="3"/>
  <c r="N62" i="3" s="1"/>
  <c r="O57" i="8"/>
  <c r="AL57" i="8" s="1"/>
  <c r="AM57" i="7"/>
  <c r="O57" i="7"/>
  <c r="O67" i="12" l="1"/>
  <c r="M68" i="12" s="1"/>
  <c r="N68" i="12" s="1"/>
  <c r="W58" i="11"/>
  <c r="X58" i="11"/>
  <c r="AL57" i="10"/>
  <c r="M58" i="10"/>
  <c r="N58" i="10" s="1"/>
  <c r="AL57" i="9"/>
  <c r="M58" i="9"/>
  <c r="P57" i="9"/>
  <c r="AK57" i="9" s="1"/>
  <c r="Q62" i="3"/>
  <c r="AN62" i="3" s="1"/>
  <c r="X62" i="3"/>
  <c r="Y62" i="3"/>
  <c r="P57" i="8"/>
  <c r="AK57" i="8" s="1"/>
  <c r="M58" i="8"/>
  <c r="N58" i="8" s="1"/>
  <c r="AM58" i="8" s="1"/>
  <c r="AL57" i="7"/>
  <c r="M58" i="7"/>
  <c r="N58" i="7" s="1"/>
  <c r="P57" i="7"/>
  <c r="AK57" i="7" s="1"/>
  <c r="W68" i="12" l="1"/>
  <c r="X68" i="12"/>
  <c r="P67" i="12"/>
  <c r="O58" i="11"/>
  <c r="P58" i="11" s="1"/>
  <c r="Q58" i="10"/>
  <c r="AN58" i="10" s="1"/>
  <c r="X58" i="10"/>
  <c r="Y58" i="10"/>
  <c r="Q58" i="9"/>
  <c r="AN58" i="9" s="1"/>
  <c r="N58" i="9"/>
  <c r="X58" i="9"/>
  <c r="Y58" i="9"/>
  <c r="AM62" i="3"/>
  <c r="O62" i="3"/>
  <c r="Q58" i="8"/>
  <c r="AN58" i="8" s="1"/>
  <c r="X58" i="8"/>
  <c r="Y58" i="8"/>
  <c r="Q58" i="7"/>
  <c r="AN58" i="7" s="1"/>
  <c r="X58" i="7"/>
  <c r="Y58" i="7"/>
  <c r="O68" i="12" l="1"/>
  <c r="M69" i="12" s="1"/>
  <c r="N69" i="12" s="1"/>
  <c r="M59" i="11"/>
  <c r="N59" i="11" s="1"/>
  <c r="AM58" i="10"/>
  <c r="O58" i="10"/>
  <c r="P58" i="10" s="1"/>
  <c r="AK58" i="10" s="1"/>
  <c r="AM58" i="9"/>
  <c r="O58" i="9"/>
  <c r="P62" i="3"/>
  <c r="AK62" i="3" s="1"/>
  <c r="AL62" i="3"/>
  <c r="M63" i="3"/>
  <c r="N63" i="3" s="1"/>
  <c r="O58" i="8"/>
  <c r="AL58" i="8" s="1"/>
  <c r="AM58" i="7"/>
  <c r="O58" i="7"/>
  <c r="X69" i="12" l="1"/>
  <c r="W69" i="12"/>
  <c r="P68" i="12"/>
  <c r="W59" i="11"/>
  <c r="X59" i="11"/>
  <c r="AL58" i="10"/>
  <c r="M59" i="10"/>
  <c r="N59" i="10" s="1"/>
  <c r="AL58" i="9"/>
  <c r="M59" i="9"/>
  <c r="P58" i="9"/>
  <c r="AK58" i="9" s="1"/>
  <c r="Q63" i="3"/>
  <c r="AN63" i="3" s="1"/>
  <c r="Y63" i="3"/>
  <c r="X63" i="3"/>
  <c r="O63" i="3"/>
  <c r="AL63" i="3" s="1"/>
  <c r="M59" i="8"/>
  <c r="N59" i="8" s="1"/>
  <c r="AM59" i="8" s="1"/>
  <c r="P58" i="8"/>
  <c r="AK58" i="8" s="1"/>
  <c r="AL58" i="7"/>
  <c r="M59" i="7"/>
  <c r="N59" i="7" s="1"/>
  <c r="P58" i="7"/>
  <c r="AK58" i="7" s="1"/>
  <c r="O69" i="12" l="1"/>
  <c r="P69" i="12" s="1"/>
  <c r="O59" i="11"/>
  <c r="P59" i="11" s="1"/>
  <c r="Q59" i="10"/>
  <c r="AN59" i="10" s="1"/>
  <c r="X59" i="10"/>
  <c r="Y59" i="10"/>
  <c r="Q59" i="9"/>
  <c r="AN59" i="9" s="1"/>
  <c r="N59" i="9"/>
  <c r="X59" i="9"/>
  <c r="Y59" i="9"/>
  <c r="P63" i="3"/>
  <c r="AK63" i="3" s="1"/>
  <c r="AM63" i="3"/>
  <c r="M64" i="3"/>
  <c r="N64" i="3" s="1"/>
  <c r="Q59" i="8"/>
  <c r="AN59" i="8" s="1"/>
  <c r="Y59" i="8"/>
  <c r="X59" i="8"/>
  <c r="Q59" i="7"/>
  <c r="AN59" i="7" s="1"/>
  <c r="X59" i="7"/>
  <c r="Y59" i="7"/>
  <c r="M60" i="11" l="1"/>
  <c r="N60" i="11" s="1"/>
  <c r="AM59" i="10"/>
  <c r="O59" i="10"/>
  <c r="P59" i="10" s="1"/>
  <c r="AK59" i="10" s="1"/>
  <c r="AM59" i="9"/>
  <c r="O59" i="9"/>
  <c r="P59" i="9" s="1"/>
  <c r="AK59" i="9" s="1"/>
  <c r="Y64" i="3"/>
  <c r="Q64" i="3"/>
  <c r="X64" i="3"/>
  <c r="O59" i="8"/>
  <c r="AL59" i="8" s="1"/>
  <c r="AM59" i="7"/>
  <c r="O59" i="7"/>
  <c r="W60" i="11" l="1"/>
  <c r="X60" i="11"/>
  <c r="AL59" i="10"/>
  <c r="M60" i="10"/>
  <c r="N60" i="10" s="1"/>
  <c r="AL59" i="9"/>
  <c r="M60" i="9"/>
  <c r="O64" i="3"/>
  <c r="M65" i="3" s="1"/>
  <c r="N65" i="3" s="1"/>
  <c r="M60" i="8"/>
  <c r="N60" i="8" s="1"/>
  <c r="AM60" i="8" s="1"/>
  <c r="P59" i="8"/>
  <c r="AK59" i="8" s="1"/>
  <c r="AL59" i="7"/>
  <c r="M60" i="7"/>
  <c r="N60" i="7" s="1"/>
  <c r="P59" i="7"/>
  <c r="AK59" i="7" s="1"/>
  <c r="O60" i="11" l="1"/>
  <c r="P60" i="11" s="1"/>
  <c r="Q60" i="10"/>
  <c r="AN60" i="10" s="1"/>
  <c r="X60" i="10"/>
  <c r="Y60" i="10"/>
  <c r="Q60" i="9"/>
  <c r="AN60" i="9" s="1"/>
  <c r="N60" i="9"/>
  <c r="X60" i="9"/>
  <c r="Y60" i="9"/>
  <c r="P64" i="3"/>
  <c r="Q65" i="3"/>
  <c r="X65" i="3"/>
  <c r="Y65" i="3"/>
  <c r="Q60" i="8"/>
  <c r="AN60" i="8" s="1"/>
  <c r="Y60" i="8"/>
  <c r="X60" i="8"/>
  <c r="Q60" i="7"/>
  <c r="AN60" i="7" s="1"/>
  <c r="X60" i="7"/>
  <c r="Y60" i="7"/>
  <c r="M61" i="11" l="1"/>
  <c r="N61" i="11" s="1"/>
  <c r="AM60" i="10"/>
  <c r="O60" i="10"/>
  <c r="P60" i="10" s="1"/>
  <c r="AK60" i="10" s="1"/>
  <c r="AM60" i="9"/>
  <c r="O60" i="9"/>
  <c r="O65" i="3"/>
  <c r="M66" i="3" s="1"/>
  <c r="N66" i="3" s="1"/>
  <c r="O60" i="8"/>
  <c r="AL60" i="8" s="1"/>
  <c r="AM60" i="7"/>
  <c r="O60" i="7"/>
  <c r="W61" i="11" l="1"/>
  <c r="X61" i="11"/>
  <c r="AL60" i="10"/>
  <c r="M61" i="10"/>
  <c r="N61" i="10" s="1"/>
  <c r="AL60" i="9"/>
  <c r="M61" i="9"/>
  <c r="P60" i="9"/>
  <c r="AK60" i="9" s="1"/>
  <c r="P65" i="3"/>
  <c r="X66" i="3"/>
  <c r="Y66" i="3"/>
  <c r="Q66" i="3"/>
  <c r="M61" i="8"/>
  <c r="N61" i="8" s="1"/>
  <c r="AM61" i="8" s="1"/>
  <c r="P60" i="8"/>
  <c r="AK60" i="8" s="1"/>
  <c r="AL60" i="7"/>
  <c r="M61" i="7"/>
  <c r="N61" i="7" s="1"/>
  <c r="P60" i="7"/>
  <c r="AK60" i="7" s="1"/>
  <c r="O61" i="11" l="1"/>
  <c r="P61" i="11" s="1"/>
  <c r="Q61" i="10"/>
  <c r="AN61" i="10" s="1"/>
  <c r="X61" i="10"/>
  <c r="Y61" i="10"/>
  <c r="Q61" i="9"/>
  <c r="AN61" i="9" s="1"/>
  <c r="N61" i="9"/>
  <c r="X61" i="9"/>
  <c r="Y61" i="9"/>
  <c r="O66" i="3"/>
  <c r="M67" i="3" s="1"/>
  <c r="N67" i="3" s="1"/>
  <c r="Q61" i="8"/>
  <c r="AN61" i="8" s="1"/>
  <c r="X61" i="8"/>
  <c r="Y61" i="8"/>
  <c r="Q61" i="7"/>
  <c r="AN61" i="7" s="1"/>
  <c r="X61" i="7"/>
  <c r="Y61" i="7"/>
  <c r="M62" i="11" l="1"/>
  <c r="N62" i="11" s="1"/>
  <c r="AM61" i="10"/>
  <c r="O61" i="10"/>
  <c r="P61" i="10" s="1"/>
  <c r="AK61" i="10" s="1"/>
  <c r="AM61" i="9"/>
  <c r="O61" i="9"/>
  <c r="P66" i="3"/>
  <c r="Y67" i="3"/>
  <c r="X67" i="3"/>
  <c r="Q67" i="3"/>
  <c r="O61" i="8"/>
  <c r="AL61" i="8" s="1"/>
  <c r="AM61" i="7"/>
  <c r="O61" i="7"/>
  <c r="X62" i="11" l="1"/>
  <c r="W62" i="11"/>
  <c r="AL61" i="10"/>
  <c r="M62" i="10"/>
  <c r="N62" i="10" s="1"/>
  <c r="AL61" i="9"/>
  <c r="M62" i="9"/>
  <c r="P61" i="9"/>
  <c r="AK61" i="9" s="1"/>
  <c r="O67" i="3"/>
  <c r="M68" i="3" s="1"/>
  <c r="N68" i="3" s="1"/>
  <c r="M62" i="8"/>
  <c r="N62" i="8" s="1"/>
  <c r="AM62" i="8" s="1"/>
  <c r="P61" i="8"/>
  <c r="AK61" i="8" s="1"/>
  <c r="AL61" i="7"/>
  <c r="M62" i="7"/>
  <c r="N62" i="7" s="1"/>
  <c r="P61" i="7"/>
  <c r="AK61" i="7" s="1"/>
  <c r="O62" i="11" l="1"/>
  <c r="P62" i="11" s="1"/>
  <c r="Q62" i="10"/>
  <c r="AN62" i="10" s="1"/>
  <c r="Y62" i="10"/>
  <c r="X62" i="10"/>
  <c r="Q62" i="9"/>
  <c r="AN62" i="9" s="1"/>
  <c r="N62" i="9"/>
  <c r="X62" i="9"/>
  <c r="Y62" i="9"/>
  <c r="P67" i="3"/>
  <c r="X68" i="3"/>
  <c r="Q68" i="3"/>
  <c r="Y68" i="3"/>
  <c r="Q62" i="8"/>
  <c r="AN62" i="8" s="1"/>
  <c r="Y62" i="8"/>
  <c r="X62" i="8"/>
  <c r="Q62" i="7"/>
  <c r="AN62" i="7" s="1"/>
  <c r="X62" i="7"/>
  <c r="Y62" i="7"/>
  <c r="M63" i="11" l="1"/>
  <c r="N63" i="11" s="1"/>
  <c r="AM62" i="10"/>
  <c r="O62" i="10"/>
  <c r="P62" i="10" s="1"/>
  <c r="AK62" i="10" s="1"/>
  <c r="AM62" i="9"/>
  <c r="O62" i="9"/>
  <c r="O68" i="3"/>
  <c r="M69" i="3" s="1"/>
  <c r="N69" i="3" s="1"/>
  <c r="O62" i="8"/>
  <c r="AL62" i="8" s="1"/>
  <c r="AM62" i="7"/>
  <c r="O62" i="7"/>
  <c r="O63" i="11" l="1"/>
  <c r="W63" i="11"/>
  <c r="X63" i="11"/>
  <c r="AL62" i="10"/>
  <c r="M63" i="10"/>
  <c r="N63" i="10" s="1"/>
  <c r="AL62" i="9"/>
  <c r="M63" i="9"/>
  <c r="P62" i="9"/>
  <c r="AK62" i="9" s="1"/>
  <c r="P68" i="3"/>
  <c r="Y69" i="3"/>
  <c r="X69" i="3"/>
  <c r="O69" i="3"/>
  <c r="P69" i="3" s="1"/>
  <c r="Q69" i="3"/>
  <c r="P62" i="8"/>
  <c r="AK62" i="8" s="1"/>
  <c r="M63" i="8"/>
  <c r="N63" i="8" s="1"/>
  <c r="AM63" i="8" s="1"/>
  <c r="AL62" i="7"/>
  <c r="M63" i="7"/>
  <c r="N63" i="7" s="1"/>
  <c r="P62" i="7"/>
  <c r="AK62" i="7" s="1"/>
  <c r="P63" i="11" l="1"/>
  <c r="M64" i="11"/>
  <c r="N64" i="11" s="1"/>
  <c r="Q63" i="10"/>
  <c r="AN63" i="10" s="1"/>
  <c r="O63" i="10"/>
  <c r="AL63" i="10" s="1"/>
  <c r="Y63" i="10"/>
  <c r="X63" i="10"/>
  <c r="Q63" i="9"/>
  <c r="AN63" i="9" s="1"/>
  <c r="O63" i="9"/>
  <c r="AL63" i="9" s="1"/>
  <c r="N63" i="9"/>
  <c r="Y63" i="9"/>
  <c r="X63" i="9"/>
  <c r="Q63" i="8"/>
  <c r="AN63" i="8" s="1"/>
  <c r="O63" i="8"/>
  <c r="AL63" i="8" s="1"/>
  <c r="X63" i="8"/>
  <c r="Y63" i="8"/>
  <c r="Q63" i="7"/>
  <c r="AN63" i="7" s="1"/>
  <c r="O63" i="7"/>
  <c r="AL63" i="7" s="1"/>
  <c r="X63" i="7"/>
  <c r="Y63" i="7"/>
  <c r="W64" i="11" l="1"/>
  <c r="X64" i="11"/>
  <c r="P63" i="10"/>
  <c r="AK63" i="10" s="1"/>
  <c r="AM63" i="10"/>
  <c r="M64" i="10"/>
  <c r="N64" i="10" s="1"/>
  <c r="AM63" i="9"/>
  <c r="P63" i="9"/>
  <c r="AK63" i="9" s="1"/>
  <c r="M64" i="9"/>
  <c r="P63" i="8"/>
  <c r="AK63" i="8" s="1"/>
  <c r="M64" i="8"/>
  <c r="N64" i="8" s="1"/>
  <c r="P63" i="7"/>
  <c r="AK63" i="7" s="1"/>
  <c r="AM63" i="7"/>
  <c r="M64" i="7"/>
  <c r="N64" i="7" s="1"/>
  <c r="O64" i="11" l="1"/>
  <c r="M65" i="11" s="1"/>
  <c r="N65" i="11" s="1"/>
  <c r="Q64" i="10"/>
  <c r="Y64" i="10"/>
  <c r="X64" i="10"/>
  <c r="Q64" i="9"/>
  <c r="N64" i="9"/>
  <c r="X64" i="9"/>
  <c r="Y64" i="9"/>
  <c r="Q64" i="8"/>
  <c r="Y64" i="8"/>
  <c r="X64" i="8"/>
  <c r="Q64" i="7"/>
  <c r="Y64" i="7"/>
  <c r="X64" i="7"/>
  <c r="X65" i="11" l="1"/>
  <c r="W65" i="11"/>
  <c r="P64" i="11"/>
  <c r="O64" i="10"/>
  <c r="M65" i="10" s="1"/>
  <c r="N65" i="10" s="1"/>
  <c r="O64" i="9"/>
  <c r="M65" i="9" s="1"/>
  <c r="O64" i="8"/>
  <c r="M65" i="8" s="1"/>
  <c r="N65" i="8" s="1"/>
  <c r="O64" i="7"/>
  <c r="M65" i="7" s="1"/>
  <c r="N65" i="7" s="1"/>
  <c r="O65" i="11" l="1"/>
  <c r="M66" i="11" s="1"/>
  <c r="N66" i="11" s="1"/>
  <c r="Q65" i="10"/>
  <c r="Y65" i="10"/>
  <c r="X65" i="10"/>
  <c r="P64" i="10"/>
  <c r="Q65" i="9"/>
  <c r="X65" i="9"/>
  <c r="Y65" i="9"/>
  <c r="N65" i="9"/>
  <c r="P64" i="9"/>
  <c r="Q65" i="8"/>
  <c r="X65" i="8"/>
  <c r="Y65" i="8"/>
  <c r="P64" i="8"/>
  <c r="Q65" i="7"/>
  <c r="Y65" i="7"/>
  <c r="X65" i="7"/>
  <c r="P64" i="7"/>
  <c r="W66" i="11" l="1"/>
  <c r="X66" i="11"/>
  <c r="P65" i="11"/>
  <c r="O65" i="10"/>
  <c r="M66" i="10" s="1"/>
  <c r="N66" i="10" s="1"/>
  <c r="O65" i="9"/>
  <c r="M66" i="9" s="1"/>
  <c r="O65" i="8"/>
  <c r="M66" i="8" s="1"/>
  <c r="N66" i="8" s="1"/>
  <c r="O65" i="7"/>
  <c r="M66" i="7" s="1"/>
  <c r="N66" i="7" s="1"/>
  <c r="O66" i="11" l="1"/>
  <c r="M67" i="11" s="1"/>
  <c r="N67" i="11" s="1"/>
  <c r="Q66" i="10"/>
  <c r="Y66" i="10"/>
  <c r="X66" i="10"/>
  <c r="P65" i="10"/>
  <c r="Q66" i="9"/>
  <c r="N66" i="9"/>
  <c r="Y66" i="9"/>
  <c r="X66" i="9"/>
  <c r="P65" i="9"/>
  <c r="Q66" i="8"/>
  <c r="X66" i="8"/>
  <c r="Y66" i="8"/>
  <c r="P65" i="8"/>
  <c r="Q66" i="7"/>
  <c r="X66" i="7"/>
  <c r="Y66" i="7"/>
  <c r="P65" i="7"/>
  <c r="X67" i="11" l="1"/>
  <c r="W67" i="11"/>
  <c r="P66" i="11"/>
  <c r="O66" i="10"/>
  <c r="M67" i="10" s="1"/>
  <c r="N67" i="10" s="1"/>
  <c r="O66" i="9"/>
  <c r="M67" i="9" s="1"/>
  <c r="O66" i="8"/>
  <c r="M67" i="8" s="1"/>
  <c r="N67" i="8" s="1"/>
  <c r="O66" i="7"/>
  <c r="M67" i="7" s="1"/>
  <c r="N67" i="7" s="1"/>
  <c r="O67" i="11" l="1"/>
  <c r="M68" i="11" s="1"/>
  <c r="N68" i="11" s="1"/>
  <c r="Q67" i="10"/>
  <c r="X67" i="10"/>
  <c r="Y67" i="10"/>
  <c r="P66" i="10"/>
  <c r="Q67" i="9"/>
  <c r="N67" i="9"/>
  <c r="X67" i="9"/>
  <c r="Y67" i="9"/>
  <c r="P66" i="9"/>
  <c r="Q67" i="8"/>
  <c r="Y67" i="8"/>
  <c r="X67" i="8"/>
  <c r="P66" i="8"/>
  <c r="Q67" i="7"/>
  <c r="X67" i="7"/>
  <c r="Y67" i="7"/>
  <c r="P66" i="7"/>
  <c r="W68" i="11" l="1"/>
  <c r="X68" i="11"/>
  <c r="P67" i="11"/>
  <c r="O67" i="10"/>
  <c r="M68" i="10" s="1"/>
  <c r="N68" i="10" s="1"/>
  <c r="O67" i="9"/>
  <c r="M68" i="9" s="1"/>
  <c r="O67" i="8"/>
  <c r="M68" i="8" s="1"/>
  <c r="N68" i="8" s="1"/>
  <c r="O67" i="7"/>
  <c r="M68" i="7" s="1"/>
  <c r="N68" i="7" s="1"/>
  <c r="O68" i="11" l="1"/>
  <c r="M69" i="11" s="1"/>
  <c r="N69" i="11" s="1"/>
  <c r="Q68" i="10"/>
  <c r="Y68" i="10"/>
  <c r="X68" i="10"/>
  <c r="P67" i="10"/>
  <c r="Q68" i="9"/>
  <c r="X68" i="9"/>
  <c r="N68" i="9"/>
  <c r="Y68" i="9"/>
  <c r="P67" i="9"/>
  <c r="Q68" i="8"/>
  <c r="X68" i="8"/>
  <c r="Y68" i="8"/>
  <c r="P67" i="8"/>
  <c r="Q68" i="7"/>
  <c r="Y68" i="7"/>
  <c r="X68" i="7"/>
  <c r="P67" i="7"/>
  <c r="X69" i="11" l="1"/>
  <c r="W69" i="11"/>
  <c r="P68" i="11"/>
  <c r="O68" i="10"/>
  <c r="M69" i="10" s="1"/>
  <c r="N69" i="10" s="1"/>
  <c r="O68" i="9"/>
  <c r="M69" i="9" s="1"/>
  <c r="O68" i="8"/>
  <c r="M69" i="8" s="1"/>
  <c r="N69" i="8" s="1"/>
  <c r="O68" i="7"/>
  <c r="M69" i="7" s="1"/>
  <c r="N69" i="7" s="1"/>
  <c r="O69" i="11" l="1"/>
  <c r="P69" i="11" s="1"/>
  <c r="Q69" i="10"/>
  <c r="Y69" i="10"/>
  <c r="X69" i="10"/>
  <c r="P68" i="10"/>
  <c r="Q69" i="9"/>
  <c r="N69" i="9"/>
  <c r="X69" i="9"/>
  <c r="Y69" i="9"/>
  <c r="P68" i="9"/>
  <c r="Q69" i="8"/>
  <c r="Y69" i="8"/>
  <c r="X69" i="8"/>
  <c r="P68" i="8"/>
  <c r="Q69" i="7"/>
  <c r="Y69" i="7"/>
  <c r="X69" i="7"/>
  <c r="P68" i="7"/>
  <c r="O69" i="10" l="1"/>
  <c r="P69" i="10" s="1"/>
  <c r="O69" i="9"/>
  <c r="P69" i="9" s="1"/>
  <c r="O69" i="8"/>
  <c r="P69" i="8" s="1"/>
  <c r="O69" i="7"/>
  <c r="P69" i="7" s="1"/>
</calcChain>
</file>

<file path=xl/sharedStrings.xml><?xml version="1.0" encoding="utf-8"?>
<sst xmlns="http://schemas.openxmlformats.org/spreadsheetml/2006/main" count="807" uniqueCount="52">
  <si>
    <t>DATOS GENERALES DEL CLIENTE</t>
  </si>
  <si>
    <t>CUOTA</t>
  </si>
  <si>
    <t>Factor
Int  Día</t>
  </si>
  <si>
    <t>Factor
Int Dia Acu</t>
  </si>
  <si>
    <t>Factor
Act-Aux</t>
  </si>
  <si>
    <t>Factor
Act</t>
  </si>
  <si>
    <t>Factor
Cuota</t>
  </si>
  <si>
    <t>CUOTA BALCON PREFERENCIAL</t>
  </si>
  <si>
    <t>FECHA PRIMER CUOTA</t>
  </si>
  <si>
    <t>PLAZO</t>
  </si>
  <si>
    <t>PERIODO TASA PREFERENCIAL</t>
  </si>
  <si>
    <t>TASA ANUAL PRODUCTO</t>
  </si>
  <si>
    <t>TASA ANUAL PREFERENCIAL</t>
  </si>
  <si>
    <t>MONTO</t>
  </si>
  <si>
    <t>FECHA DE DESEMBOLSO</t>
  </si>
  <si>
    <t>DATOS DE LA OPERACIÓN</t>
  </si>
  <si>
    <t>CUENTA</t>
  </si>
  <si>
    <t>N° DÍAS</t>
  </si>
  <si>
    <t>FECHA DE CARGO</t>
  </si>
  <si>
    <t>Saldo Capital</t>
  </si>
  <si>
    <t>Cuota Interés</t>
  </si>
  <si>
    <t>Cuota Capital</t>
  </si>
  <si>
    <t>Total Cuota</t>
  </si>
  <si>
    <t>Año Bisiesto</t>
  </si>
  <si>
    <t>Fecha Cuota Antrior</t>
  </si>
  <si>
    <t>Fecha Fin de Año</t>
  </si>
  <si>
    <t>Fecha Cuota</t>
  </si>
  <si>
    <t>Factor
Int  Día 1</t>
  </si>
  <si>
    <t>Factor
Int  Día 2</t>
  </si>
  <si>
    <t>INT 1</t>
  </si>
  <si>
    <t>INT 2</t>
  </si>
  <si>
    <t>CALCULADORA DE SALDOS DIFERIDOS EX/BC/BN/REF</t>
  </si>
  <si>
    <t>Seguro Deuda PGD</t>
  </si>
  <si>
    <t>TIPO DE COMPRA</t>
  </si>
  <si>
    <t>EX36.90%</t>
  </si>
  <si>
    <t>000009154242</t>
  </si>
  <si>
    <t>EX26.99%</t>
  </si>
  <si>
    <t>LIQUIDADA</t>
  </si>
  <si>
    <t>PENDIENTE</t>
  </si>
  <si>
    <t>VALIDACIÓN</t>
  </si>
  <si>
    <t>TABLA DE AMORTIZACIÓN DE SAT</t>
  </si>
  <si>
    <t>000009184487</t>
  </si>
  <si>
    <t>000009085630</t>
  </si>
  <si>
    <t>EX19.90%</t>
  </si>
  <si>
    <t>000009234228</t>
  </si>
  <si>
    <t>000009161190</t>
  </si>
  <si>
    <t>000009093197</t>
  </si>
  <si>
    <t>BC15.99%</t>
  </si>
  <si>
    <t>000000017145</t>
  </si>
  <si>
    <t>000009268092</t>
  </si>
  <si>
    <t>000009181144</t>
  </si>
  <si>
    <t>000009259774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</si>
</sst>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#,##0.000000_ ;[Red]\-#,##0.000000\ "/>
    <numFmt numFmtId="166" formatCode="0.000000"/>
    <numFmt numFmtId="167" formatCode="#,##0.0000_ ;[Red]\-#,##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Protection="1">
      <protection hidden="1"/>
    </xf>
    <xf numFmtId="14" fontId="0" fillId="0" borderId="0" xfId="0" applyNumberFormat="1" applyProtection="1">
      <protection hidden="1"/>
    </xf>
    <xf numFmtId="165" fontId="0" fillId="4" borderId="0" xfId="0" applyNumberFormat="1" applyFont="1" applyFill="1" applyProtection="1">
      <protection hidden="1"/>
    </xf>
    <xf numFmtId="166" fontId="0" fillId="0" borderId="0" xfId="0" applyNumberFormat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5" fontId="5" fillId="4" borderId="0" xfId="0" applyNumberFormat="1" applyFont="1" applyFill="1" applyProtection="1">
      <protection hidden="1"/>
    </xf>
    <xf numFmtId="164" fontId="0" fillId="3" borderId="1" xfId="5" applyFont="1" applyFill="1" applyBorder="1" applyProtection="1">
      <protection hidden="1"/>
    </xf>
    <xf numFmtId="0" fontId="0" fillId="3" borderId="2" xfId="0" applyFill="1" applyBorder="1" applyProtection="1">
      <protection hidden="1"/>
    </xf>
    <xf numFmtId="14" fontId="0" fillId="0" borderId="5" xfId="0" applyNumberFormat="1" applyBorder="1" applyProtection="1">
      <protection locked="0"/>
    </xf>
    <xf numFmtId="0" fontId="0" fillId="0" borderId="6" xfId="0" applyBorder="1" applyProtection="1">
      <protection hidden="1"/>
    </xf>
    <xf numFmtId="0" fontId="0" fillId="0" borderId="5" xfId="0" applyBorder="1" applyProtection="1">
      <protection locked="0"/>
    </xf>
    <xf numFmtId="10" fontId="0" fillId="0" borderId="5" xfId="1" applyNumberFormat="1" applyFont="1" applyBorder="1" applyAlignment="1" applyProtection="1">
      <alignment horizontal="right"/>
      <protection locked="0"/>
    </xf>
    <xf numFmtId="164" fontId="0" fillId="0" borderId="5" xfId="5" applyFont="1" applyBorder="1" applyAlignment="1" applyProtection="1">
      <alignment horizontal="left"/>
      <protection locked="0"/>
    </xf>
    <xf numFmtId="14" fontId="0" fillId="0" borderId="7" xfId="0" applyNumberFormat="1" applyBorder="1" applyProtection="1">
      <protection locked="0"/>
    </xf>
    <xf numFmtId="0" fontId="0" fillId="0" borderId="8" xfId="0" applyBorder="1" applyProtection="1">
      <protection hidden="1"/>
    </xf>
    <xf numFmtId="0" fontId="0" fillId="0" borderId="4" xfId="0" quotePrefix="1" applyBorder="1" applyProtection="1">
      <protection locked="0"/>
    </xf>
    <xf numFmtId="0" fontId="0" fillId="0" borderId="3" xfId="0" applyBorder="1" applyAlignment="1" applyProtection="1">
      <protection hidden="1"/>
    </xf>
    <xf numFmtId="0" fontId="2" fillId="2" borderId="10" xfId="0" applyFont="1" applyFill="1" applyBorder="1" applyAlignment="1" applyProtection="1">
      <alignment horizontal="center" wrapText="1"/>
      <protection hidden="1"/>
    </xf>
    <xf numFmtId="0" fontId="2" fillId="2" borderId="11" xfId="0" applyFont="1" applyFill="1" applyBorder="1" applyAlignment="1" applyProtection="1">
      <alignment horizontal="center" wrapText="1"/>
      <protection hidden="1"/>
    </xf>
    <xf numFmtId="0" fontId="2" fillId="2" borderId="12" xfId="0" applyFont="1" applyFill="1" applyBorder="1" applyAlignment="1" applyProtection="1">
      <alignment horizontal="center" wrapText="1"/>
      <protection hidden="1"/>
    </xf>
    <xf numFmtId="0" fontId="0" fillId="0" borderId="0" xfId="0" applyNumberFormat="1" applyProtection="1">
      <protection hidden="1"/>
    </xf>
    <xf numFmtId="0" fontId="2" fillId="0" borderId="0" xfId="0" applyNumberFormat="1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vertical="center"/>
      <protection hidden="1"/>
    </xf>
    <xf numFmtId="0" fontId="0" fillId="0" borderId="0" xfId="0" applyFont="1" applyAlignment="1" applyProtection="1">
      <alignment horizontal="center"/>
      <protection hidden="1"/>
    </xf>
    <xf numFmtId="14" fontId="0" fillId="0" borderId="0" xfId="0" applyNumberFormat="1" applyFont="1" applyAlignment="1" applyProtection="1">
      <alignment horizontal="center"/>
      <protection hidden="1"/>
    </xf>
    <xf numFmtId="0" fontId="0" fillId="0" borderId="0" xfId="0" applyNumberFormat="1" applyFont="1" applyAlignment="1" applyProtection="1">
      <alignment horizontal="center"/>
      <protection hidden="1"/>
    </xf>
    <xf numFmtId="166" fontId="0" fillId="0" borderId="0" xfId="0" applyNumberFormat="1" applyFont="1" applyAlignment="1" applyProtection="1">
      <alignment horizontal="center"/>
      <protection hidden="1"/>
    </xf>
    <xf numFmtId="164" fontId="0" fillId="0" borderId="0" xfId="0" applyNumberFormat="1" applyFont="1" applyBorder="1" applyProtection="1">
      <protection hidden="1"/>
    </xf>
    <xf numFmtId="167" fontId="0" fillId="4" borderId="0" xfId="0" applyNumberFormat="1" applyFont="1" applyFill="1" applyProtection="1"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164" fontId="0" fillId="0" borderId="0" xfId="0" applyNumberFormat="1" applyProtection="1">
      <protection hidden="1"/>
    </xf>
    <xf numFmtId="0" fontId="2" fillId="0" borderId="0" xfId="0" applyFont="1" applyBorder="1" applyAlignment="1" applyProtection="1">
      <alignment vertical="center"/>
      <protection hidden="1"/>
    </xf>
    <xf numFmtId="164" fontId="0" fillId="0" borderId="0" xfId="5" applyFont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</cellXfs>
  <cellStyles count="6">
    <cellStyle name="Moneda" xfId="5" builtinId="4"/>
    <cellStyle name="Moneda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1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72"/>
  <sheetViews>
    <sheetView showGridLines="0" topLeftCell="D61" zoomScale="85" zoomScaleNormal="85" workbookViewId="0">
      <selection activeCell="AL21" sqref="AL21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12.7109375" style="1" bestFit="1" customWidth="1"/>
    <col min="18" max="18" width="8" style="22" hidden="1" customWidth="1"/>
    <col min="19" max="19" width="11.7109375" style="1" hidden="1" customWidth="1"/>
    <col min="20" max="20" width="16.140625" style="1" hidden="1" customWidth="1"/>
    <col min="21" max="21" width="11.28515625" style="1" hidden="1" customWidth="1"/>
    <col min="22" max="22" width="8.7109375" style="1" hidden="1" customWidth="1"/>
    <col min="23" max="23" width="12.28515625" style="1" hidden="1" customWidth="1"/>
    <col min="24" max="25" width="6.140625" style="1" hidden="1" customWidth="1"/>
    <col min="26" max="26" width="2.5703125" style="1" customWidth="1"/>
    <col min="27" max="27" width="3.140625" style="1" bestFit="1" customWidth="1"/>
    <col min="28" max="28" width="2.140625" style="1" bestFit="1" customWidth="1"/>
    <col min="29" max="29" width="11" style="1" bestFit="1" customWidth="1"/>
    <col min="30" max="31" width="10.85546875" style="1" bestFit="1" customWidth="1"/>
    <col min="32" max="34" width="9" style="36" bestFit="1" customWidth="1"/>
    <col min="35" max="35" width="7" style="36" bestFit="1" customWidth="1"/>
    <col min="36" max="36" width="2.7109375" style="1" customWidth="1"/>
    <col min="37" max="16384" width="11.42578125" style="1"/>
  </cols>
  <sheetData>
    <row r="1" spans="2:40" x14ac:dyDescent="0.25">
      <c r="F1" s="1"/>
      <c r="G1" s="1"/>
      <c r="R1" s="1"/>
    </row>
    <row r="2" spans="2:40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1"/>
      <c r="R2" s="24"/>
      <c r="S2" s="24"/>
      <c r="T2" s="24"/>
      <c r="U2" s="24"/>
      <c r="V2" s="24"/>
      <c r="W2" s="24"/>
      <c r="X2" s="24"/>
      <c r="Y2" s="24"/>
      <c r="Z2" s="35"/>
    </row>
    <row r="3" spans="2:40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0" t="s">
        <v>22</v>
      </c>
      <c r="Q3" s="21" t="s">
        <v>32</v>
      </c>
      <c r="R3" s="19" t="s">
        <v>23</v>
      </c>
      <c r="S3" s="20" t="s">
        <v>24</v>
      </c>
      <c r="T3" s="20" t="s">
        <v>25</v>
      </c>
      <c r="U3" s="20" t="s">
        <v>26</v>
      </c>
      <c r="V3" s="20" t="s">
        <v>27</v>
      </c>
      <c r="W3" s="20" t="s">
        <v>28</v>
      </c>
      <c r="X3" s="20" t="s">
        <v>29</v>
      </c>
      <c r="Y3" s="21" t="s">
        <v>30</v>
      </c>
      <c r="Z3" s="22"/>
      <c r="AA3" s="40" t="s">
        <v>40</v>
      </c>
      <c r="AB3" s="41"/>
      <c r="AC3" s="41"/>
      <c r="AD3" s="41"/>
      <c r="AE3" s="41"/>
      <c r="AF3" s="41"/>
      <c r="AG3" s="41"/>
      <c r="AH3" s="41"/>
      <c r="AI3" s="42"/>
      <c r="AK3" s="40" t="s">
        <v>39</v>
      </c>
      <c r="AL3" s="41"/>
      <c r="AM3" s="41"/>
      <c r="AN3" s="42"/>
    </row>
    <row r="4" spans="2:40" x14ac:dyDescent="0.25">
      <c r="E4" s="25">
        <f>IFERROR(IF($C$18&gt;0,1," "),"")</f>
        <v>1</v>
      </c>
      <c r="F4" s="26" t="str">
        <f>IFERROR(IF(C18&gt;0,TEXT(IF($E$4&gt;0,C18," "),"DD/MM/YYYY")," "),"")</f>
        <v>18/11/2019</v>
      </c>
      <c r="G4" s="27" t="str">
        <f>IFERROR(IF(E4=" "," ",F4-$C$11),"")</f>
        <v/>
      </c>
      <c r="H4" s="28" t="str">
        <f t="shared" ref="H4:H35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35" si="1">IFERROR(IF($C$18=" "," ",1/(1+I4))," ")</f>
        <v xml:space="preserve"> </v>
      </c>
      <c r="K4" s="3" t="str">
        <f>IFERROR(IF($C$18=" "," ",L1+J4),"")</f>
        <v/>
      </c>
      <c r="L4" s="30" t="str">
        <f t="shared" ref="L4:L35" si="2">IFERROR(TRUNC(IF($C$18=" "," ",$C$13/K4),2),"")</f>
        <v/>
      </c>
      <c r="M4" s="29">
        <f>IFERROR(IF(C13&gt;0,C13," "),"")</f>
        <v>4810</v>
      </c>
      <c r="N4" s="29" t="str">
        <f>IFERROR(IF(AND(R2="N",R4="Y"),SUM(X4:Y4),IF(AND(R2="Y",R4="N"),SUM(X4:Y4),TRUNC((M4+(0*(-1)))*(H4)+(0*(-1)),2))),"")</f>
        <v/>
      </c>
      <c r="O4" s="29" t="str">
        <f t="shared" ref="O4:O35" si="3">IFERROR(IF($C$17=E4,M4,TRUNC($C$19-N4,2)),"")</f>
        <v/>
      </c>
      <c r="P4" s="29" t="str">
        <f t="shared" ref="P4:P35" si="4">IF(TRUNC(SUM(N4:O4),2)&lt;=0,"",TRUNC(SUM(N4:O4),2))</f>
        <v/>
      </c>
      <c r="Q4" s="29">
        <f t="shared" ref="Q4:Q35" si="5">IFERROR(IF($C$12="","",IF(TEXT(MID($C$12,1,2),"")="EX",TRUNC(M4*0.002,2))),"")</f>
        <v>9.6199999999999992</v>
      </c>
      <c r="R4" s="23" t="str">
        <f t="shared" ref="R4:R35" si="6">IFERROR(IF(IF(DAY(DATE(MID(F4,7,4),3,0))=29,366,365)=366,"Y","N"),"")</f>
        <v>N</v>
      </c>
      <c r="S4" s="5" t="str">
        <f>TEXT(IF(AND(R2="N",R4="Y"),EDATE($F$4,E4-2),IF(AND(R2="Y",R4="N"),EDATE($F$4,E4-2),"")),"DD/MM/YYYY")</f>
        <v/>
      </c>
      <c r="T4" s="5" t="str">
        <f>TEXT(IFERROR(DATE(YEAR(S4),12,31),""),"DD/MM/YYYY")</f>
        <v/>
      </c>
      <c r="U4" s="5" t="str">
        <f>TEXT(IFERROR(EDATE($S4,1),""),"DD/MM/YYYY")</f>
        <v/>
      </c>
      <c r="V4" s="4" t="str">
        <f t="shared" ref="V4:V35" si="7">IFERROR(IF(E4=" "," ",IF($E4&lt;=$C$16,SUM(T4-S4)*$C$14/IF(DAY(DATE(MID(T4,7,4),3,0))=29,366,365),SUM(T4-S4)*$C$15/IF(DAY(DATE(MID(T4,7,4),3,0))=29,366,365))),"")</f>
        <v/>
      </c>
      <c r="W4" s="6" t="str">
        <f t="shared" ref="W4:W35" si="8">IFERROR(IF(E4=" "," ",IF($E4&lt;=$C$16,SUM(U4-T4)*$C$14/IF(DAY(DATE(MID(U4,7,4),3,0))=29,366,365),SUM(U4-T4)*$C$15/IF(DAY(DATE(MID(U4,7,4),3,0))=29,366,365))),"")</f>
        <v/>
      </c>
      <c r="X4" s="22" t="str">
        <f t="shared" ref="X4:X35" si="9">IFERROR(TRUNC(V4*M4,2),"")</f>
        <v/>
      </c>
      <c r="Y4" s="22" t="str">
        <f t="shared" ref="Y4:Y35" si="10">IFERROR(TRUNC(W4*M4,2),"")</f>
        <v/>
      </c>
      <c r="Z4" s="22"/>
      <c r="AA4" s="1">
        <v>1</v>
      </c>
      <c r="AB4" s="1">
        <v>1</v>
      </c>
      <c r="AC4" s="1" t="s">
        <v>37</v>
      </c>
      <c r="AD4" s="2">
        <v>43787</v>
      </c>
      <c r="AE4" s="2">
        <v>43781</v>
      </c>
      <c r="AF4" s="36">
        <v>144.19999999999999</v>
      </c>
      <c r="AG4" s="36">
        <v>122.86</v>
      </c>
      <c r="AH4" s="36">
        <v>21.34</v>
      </c>
      <c r="AI4" s="36">
        <v>9.6199999999999992</v>
      </c>
      <c r="AK4" s="34" t="e">
        <f>+AF4-P4</f>
        <v>#VALUE!</v>
      </c>
      <c r="AL4" s="34" t="e">
        <f>AG4-O4</f>
        <v>#VALUE!</v>
      </c>
      <c r="AM4" s="34" t="e">
        <f>+N4-AH4</f>
        <v>#VALUE!</v>
      </c>
      <c r="AN4" s="34">
        <f>+Q4-AI4</f>
        <v>0</v>
      </c>
    </row>
    <row r="5" spans="2:40" x14ac:dyDescent="0.25">
      <c r="B5" s="37" t="s">
        <v>0</v>
      </c>
      <c r="C5" s="38"/>
      <c r="E5" s="25">
        <f t="shared" ref="E5:E36" si="11">IFERROR(IF($E4&lt;$C$17,E4+1," "),"")</f>
        <v>2</v>
      </c>
      <c r="F5" s="26" t="str">
        <f t="shared" ref="F5:F36" si="12">IFERROR(TEXT(IF($E5&lt;=$C$17,EDATE($F$4,E5 - 1)," "),"DD/MM/YYYY"),"")</f>
        <v/>
      </c>
      <c r="G5" s="27" t="str">
        <f t="shared" ref="G5:G36" si="13">IFERROR(IF(E5=" "," ",F5-F4),"")</f>
        <v/>
      </c>
      <c r="H5" s="28" t="str">
        <f t="shared" si="0"/>
        <v/>
      </c>
      <c r="I5" s="3" t="str">
        <f t="shared" ref="I5:I36" si="14">IFERROR(IF(E5=" "," ",ROUND(I4+H5+(I4*H5),6)),"")</f>
        <v/>
      </c>
      <c r="J5" s="3" t="str">
        <f t="shared" si="1"/>
        <v xml:space="preserve"> </v>
      </c>
      <c r="K5" s="3" t="str">
        <f t="shared" ref="K5:K36" si="15">IFERROR(IF($C$18=" "," ",K4+J5),"")</f>
        <v/>
      </c>
      <c r="L5" s="30" t="str">
        <f t="shared" si="2"/>
        <v/>
      </c>
      <c r="M5" s="29" t="str">
        <f t="shared" ref="M5:M36" si="16">IFERROR(IF(IF($M4&gt;0,($M4-$O4)," ")&lt;=0,"",IF($M4&gt;0,($M4-$O4)," ")),"")</f>
        <v/>
      </c>
      <c r="N5" s="29" t="str">
        <f t="shared" ref="N5:N68" si="17">IFERROR(IF(AND(R4="N",R5="Y"),SUM(X5:Y5),IF(AND(R4="Y",R5="N"),SUM(X5:Y5),TRUNC((M5+(0*(-1)))*(H5)+(0*(-1)),2))),"")</f>
        <v/>
      </c>
      <c r="O5" s="29" t="str">
        <f t="shared" si="3"/>
        <v/>
      </c>
      <c r="P5" s="29" t="str">
        <f t="shared" si="4"/>
        <v/>
      </c>
      <c r="Q5" s="29" t="str">
        <f t="shared" si="5"/>
        <v/>
      </c>
      <c r="R5" s="23" t="str">
        <f t="shared" si="6"/>
        <v/>
      </c>
      <c r="S5" s="5" t="str">
        <f t="shared" ref="S5:S36" si="18">TEXT(IF(AND(R4="N",R5="Y"),EDATE($F$4,E5-2),IF(AND(R4="Y",R5="N"),EDATE($F$4,E5-2),"")),"DD/MM/YYYY")</f>
        <v/>
      </c>
      <c r="T5" s="5" t="str">
        <f t="shared" ref="T5:T68" si="19">TEXT(IFERROR(DATE(YEAR(S5),12,31),""),"DD/MM/YYYY")</f>
        <v/>
      </c>
      <c r="U5" s="5" t="str">
        <f t="shared" ref="U5:U68" si="20">TEXT(IFERROR(EDATE($S5,1),""),"DD/MM/YYYY")</f>
        <v/>
      </c>
      <c r="V5" s="4" t="str">
        <f t="shared" si="7"/>
        <v/>
      </c>
      <c r="W5" s="6" t="str">
        <f t="shared" si="8"/>
        <v/>
      </c>
      <c r="X5" s="22" t="str">
        <f t="shared" si="9"/>
        <v/>
      </c>
      <c r="Y5" s="22" t="str">
        <f t="shared" si="10"/>
        <v/>
      </c>
      <c r="Z5" s="22"/>
      <c r="AA5" s="1">
        <v>2</v>
      </c>
      <c r="AB5" s="1">
        <v>1</v>
      </c>
      <c r="AC5" s="1" t="s">
        <v>38</v>
      </c>
      <c r="AD5" s="2">
        <v>43817</v>
      </c>
      <c r="AE5" s="2">
        <v>43781</v>
      </c>
      <c r="AF5" s="36">
        <v>144.19999999999999</v>
      </c>
      <c r="AG5" s="36">
        <v>40.229999999999997</v>
      </c>
      <c r="AH5" s="36">
        <v>103.97</v>
      </c>
      <c r="AI5" s="36">
        <v>9.3699999999999992</v>
      </c>
      <c r="AK5" s="34" t="e">
        <f t="shared" ref="AK5:AK63" si="21">+AF5-P5</f>
        <v>#VALUE!</v>
      </c>
      <c r="AL5" s="34" t="e">
        <f t="shared" ref="AL5:AL63" si="22">AG5-O5</f>
        <v>#VALUE!</v>
      </c>
      <c r="AM5" s="34" t="e">
        <f t="shared" ref="AM5:AM63" si="23">+N5-AH5</f>
        <v>#VALUE!</v>
      </c>
      <c r="AN5" s="34" t="e">
        <f t="shared" ref="AN5:AN63" si="24">+Q5-AI5</f>
        <v>#VALUE!</v>
      </c>
    </row>
    <row r="6" spans="2:40" x14ac:dyDescent="0.25">
      <c r="E6" s="25">
        <f t="shared" si="11"/>
        <v>3</v>
      </c>
      <c r="F6" s="26" t="str">
        <f t="shared" si="12"/>
        <v/>
      </c>
      <c r="G6" s="27" t="str">
        <f t="shared" si="13"/>
        <v/>
      </c>
      <c r="H6" s="28" t="str">
        <f t="shared" si="0"/>
        <v/>
      </c>
      <c r="I6" s="3" t="str">
        <f t="shared" si="14"/>
        <v/>
      </c>
      <c r="J6" s="3" t="str">
        <f t="shared" si="1"/>
        <v xml:space="preserve"> </v>
      </c>
      <c r="K6" s="3" t="str">
        <f t="shared" si="15"/>
        <v/>
      </c>
      <c r="L6" s="30" t="str">
        <f t="shared" si="2"/>
        <v/>
      </c>
      <c r="M6" s="29" t="str">
        <f t="shared" si="16"/>
        <v/>
      </c>
      <c r="N6" s="29" t="str">
        <f t="shared" si="17"/>
        <v/>
      </c>
      <c r="O6" s="29" t="str">
        <f t="shared" si="3"/>
        <v/>
      </c>
      <c r="P6" s="29" t="str">
        <f t="shared" si="4"/>
        <v/>
      </c>
      <c r="Q6" s="29" t="str">
        <f t="shared" si="5"/>
        <v/>
      </c>
      <c r="R6" s="23" t="str">
        <f t="shared" si="6"/>
        <v/>
      </c>
      <c r="S6" s="5" t="str">
        <f t="shared" si="18"/>
        <v/>
      </c>
      <c r="T6" s="5" t="str">
        <f t="shared" si="19"/>
        <v/>
      </c>
      <c r="U6" s="5" t="str">
        <f t="shared" si="20"/>
        <v/>
      </c>
      <c r="V6" s="4" t="str">
        <f t="shared" si="7"/>
        <v/>
      </c>
      <c r="W6" s="6" t="str">
        <f t="shared" si="8"/>
        <v/>
      </c>
      <c r="X6" s="22" t="str">
        <f t="shared" si="9"/>
        <v/>
      </c>
      <c r="Y6" s="22" t="str">
        <f t="shared" si="10"/>
        <v/>
      </c>
      <c r="Z6" s="22"/>
      <c r="AA6" s="1">
        <v>3</v>
      </c>
      <c r="AB6" s="1">
        <v>1</v>
      </c>
      <c r="AC6" s="1" t="s">
        <v>38</v>
      </c>
      <c r="AD6" s="2">
        <v>43848</v>
      </c>
      <c r="AE6" s="2">
        <v>43781</v>
      </c>
      <c r="AF6" s="36">
        <v>144.19999999999999</v>
      </c>
      <c r="AG6" s="36">
        <v>37.85</v>
      </c>
      <c r="AH6" s="36">
        <v>106.35</v>
      </c>
      <c r="AI6" s="36">
        <v>9.2899999999999991</v>
      </c>
      <c r="AK6" s="34" t="e">
        <f t="shared" si="21"/>
        <v>#VALUE!</v>
      </c>
      <c r="AL6" s="34" t="e">
        <f t="shared" si="22"/>
        <v>#VALUE!</v>
      </c>
      <c r="AM6" s="34" t="e">
        <f t="shared" si="23"/>
        <v>#VALUE!</v>
      </c>
      <c r="AN6" s="34" t="e">
        <f t="shared" si="24"/>
        <v>#VALUE!</v>
      </c>
    </row>
    <row r="7" spans="2:40" x14ac:dyDescent="0.25">
      <c r="B7" s="18" t="s">
        <v>16</v>
      </c>
      <c r="C7" s="17" t="s">
        <v>35</v>
      </c>
      <c r="E7" s="25">
        <f t="shared" si="11"/>
        <v>4</v>
      </c>
      <c r="F7" s="26" t="str">
        <f t="shared" si="12"/>
        <v/>
      </c>
      <c r="G7" s="27" t="str">
        <f t="shared" si="13"/>
        <v/>
      </c>
      <c r="H7" s="28" t="str">
        <f t="shared" si="0"/>
        <v/>
      </c>
      <c r="I7" s="3" t="str">
        <f t="shared" si="14"/>
        <v/>
      </c>
      <c r="J7" s="3" t="str">
        <f t="shared" si="1"/>
        <v xml:space="preserve"> </v>
      </c>
      <c r="K7" s="3" t="str">
        <f t="shared" si="15"/>
        <v/>
      </c>
      <c r="L7" s="30" t="str">
        <f t="shared" si="2"/>
        <v/>
      </c>
      <c r="M7" s="29" t="str">
        <f t="shared" si="16"/>
        <v/>
      </c>
      <c r="N7" s="29" t="str">
        <f t="shared" si="17"/>
        <v/>
      </c>
      <c r="O7" s="29" t="str">
        <f t="shared" si="3"/>
        <v/>
      </c>
      <c r="P7" s="29" t="str">
        <f t="shared" si="4"/>
        <v/>
      </c>
      <c r="Q7" s="29" t="str">
        <f t="shared" si="5"/>
        <v/>
      </c>
      <c r="R7" s="23" t="str">
        <f t="shared" si="6"/>
        <v/>
      </c>
      <c r="S7" s="5" t="str">
        <f t="shared" si="18"/>
        <v/>
      </c>
      <c r="T7" s="5" t="str">
        <f t="shared" si="19"/>
        <v/>
      </c>
      <c r="U7" s="5" t="str">
        <f t="shared" si="20"/>
        <v/>
      </c>
      <c r="V7" s="4" t="str">
        <f t="shared" si="7"/>
        <v/>
      </c>
      <c r="W7" s="6" t="str">
        <f t="shared" si="8"/>
        <v/>
      </c>
      <c r="X7" s="22" t="str">
        <f t="shared" si="9"/>
        <v/>
      </c>
      <c r="Y7" s="22" t="str">
        <f t="shared" si="10"/>
        <v/>
      </c>
      <c r="Z7" s="22"/>
      <c r="AA7" s="1">
        <v>4</v>
      </c>
      <c r="AB7" s="1">
        <v>1</v>
      </c>
      <c r="AC7" s="1" t="s">
        <v>38</v>
      </c>
      <c r="AD7" s="2">
        <v>43879</v>
      </c>
      <c r="AE7" s="2">
        <v>43781</v>
      </c>
      <c r="AF7" s="36">
        <v>144.19999999999999</v>
      </c>
      <c r="AG7" s="36">
        <v>38.840000000000003</v>
      </c>
      <c r="AH7" s="36">
        <v>105.36</v>
      </c>
      <c r="AI7" s="36">
        <v>9.2100000000000009</v>
      </c>
      <c r="AK7" s="34" t="e">
        <f t="shared" si="21"/>
        <v>#VALUE!</v>
      </c>
      <c r="AL7" s="34" t="e">
        <f t="shared" si="22"/>
        <v>#VALUE!</v>
      </c>
      <c r="AM7" s="34" t="e">
        <f t="shared" si="23"/>
        <v>#VALUE!</v>
      </c>
      <c r="AN7" s="34" t="e">
        <f t="shared" si="24"/>
        <v>#VALUE!</v>
      </c>
    </row>
    <row r="8" spans="2:40" x14ac:dyDescent="0.25">
      <c r="E8" s="25">
        <f t="shared" si="11"/>
        <v>5</v>
      </c>
      <c r="F8" s="26" t="str">
        <f t="shared" si="12"/>
        <v/>
      </c>
      <c r="G8" s="27" t="str">
        <f t="shared" si="13"/>
        <v/>
      </c>
      <c r="H8" s="28" t="str">
        <f t="shared" si="0"/>
        <v/>
      </c>
      <c r="I8" s="3" t="str">
        <f t="shared" si="14"/>
        <v/>
      </c>
      <c r="J8" s="3" t="str">
        <f t="shared" si="1"/>
        <v xml:space="preserve"> </v>
      </c>
      <c r="K8" s="3" t="str">
        <f t="shared" si="15"/>
        <v/>
      </c>
      <c r="L8" s="30" t="str">
        <f t="shared" si="2"/>
        <v/>
      </c>
      <c r="M8" s="29" t="str">
        <f t="shared" si="16"/>
        <v/>
      </c>
      <c r="N8" s="29" t="str">
        <f t="shared" si="17"/>
        <v/>
      </c>
      <c r="O8" s="29" t="str">
        <f t="shared" si="3"/>
        <v/>
      </c>
      <c r="P8" s="29" t="str">
        <f t="shared" si="4"/>
        <v/>
      </c>
      <c r="Q8" s="29" t="str">
        <f t="shared" si="5"/>
        <v/>
      </c>
      <c r="R8" s="23" t="str">
        <f t="shared" si="6"/>
        <v/>
      </c>
      <c r="S8" s="5" t="str">
        <f t="shared" si="18"/>
        <v/>
      </c>
      <c r="T8" s="5" t="str">
        <f t="shared" si="19"/>
        <v/>
      </c>
      <c r="U8" s="5" t="str">
        <f t="shared" si="20"/>
        <v/>
      </c>
      <c r="V8" s="4" t="str">
        <f t="shared" si="7"/>
        <v/>
      </c>
      <c r="W8" s="6" t="str">
        <f t="shared" si="8"/>
        <v/>
      </c>
      <c r="X8" s="22" t="str">
        <f t="shared" si="9"/>
        <v/>
      </c>
      <c r="Y8" s="22" t="str">
        <f t="shared" si="10"/>
        <v/>
      </c>
      <c r="Z8" s="22"/>
      <c r="AA8" s="1">
        <v>5</v>
      </c>
      <c r="AB8" s="1">
        <v>1</v>
      </c>
      <c r="AC8" s="1" t="s">
        <v>38</v>
      </c>
      <c r="AD8" s="2">
        <v>43908</v>
      </c>
      <c r="AE8" s="2">
        <v>43781</v>
      </c>
      <c r="AF8" s="36">
        <v>144.19999999999999</v>
      </c>
      <c r="AG8" s="36">
        <v>46.47</v>
      </c>
      <c r="AH8" s="36">
        <v>97.73</v>
      </c>
      <c r="AI8" s="36">
        <v>9.14</v>
      </c>
      <c r="AK8" s="34" t="e">
        <f t="shared" si="21"/>
        <v>#VALUE!</v>
      </c>
      <c r="AL8" s="34" t="e">
        <f t="shared" si="22"/>
        <v>#VALUE!</v>
      </c>
      <c r="AM8" s="34" t="e">
        <f t="shared" si="23"/>
        <v>#VALUE!</v>
      </c>
      <c r="AN8" s="34" t="e">
        <f t="shared" si="24"/>
        <v>#VALUE!</v>
      </c>
    </row>
    <row r="9" spans="2:40" x14ac:dyDescent="0.25">
      <c r="B9" s="37" t="s">
        <v>15</v>
      </c>
      <c r="C9" s="38"/>
      <c r="E9" s="25">
        <f t="shared" si="11"/>
        <v>6</v>
      </c>
      <c r="F9" s="26" t="str">
        <f t="shared" si="12"/>
        <v/>
      </c>
      <c r="G9" s="27" t="str">
        <f t="shared" si="13"/>
        <v/>
      </c>
      <c r="H9" s="28" t="str">
        <f t="shared" si="0"/>
        <v/>
      </c>
      <c r="I9" s="3" t="str">
        <f t="shared" si="14"/>
        <v/>
      </c>
      <c r="J9" s="3" t="str">
        <f t="shared" si="1"/>
        <v xml:space="preserve"> </v>
      </c>
      <c r="K9" s="3" t="str">
        <f t="shared" si="15"/>
        <v/>
      </c>
      <c r="L9" s="30" t="str">
        <f t="shared" si="2"/>
        <v/>
      </c>
      <c r="M9" s="29" t="str">
        <f t="shared" si="16"/>
        <v/>
      </c>
      <c r="N9" s="29" t="str">
        <f t="shared" si="17"/>
        <v/>
      </c>
      <c r="O9" s="29" t="str">
        <f t="shared" si="3"/>
        <v/>
      </c>
      <c r="P9" s="29" t="str">
        <f t="shared" si="4"/>
        <v/>
      </c>
      <c r="Q9" s="29" t="str">
        <f t="shared" si="5"/>
        <v/>
      </c>
      <c r="R9" s="23" t="str">
        <f t="shared" si="6"/>
        <v/>
      </c>
      <c r="S9" s="5" t="str">
        <f t="shared" si="18"/>
        <v/>
      </c>
      <c r="T9" s="5" t="str">
        <f t="shared" si="19"/>
        <v/>
      </c>
      <c r="U9" s="5" t="str">
        <f t="shared" si="20"/>
        <v/>
      </c>
      <c r="V9" s="4" t="str">
        <f t="shared" si="7"/>
        <v/>
      </c>
      <c r="W9" s="6" t="str">
        <f t="shared" si="8"/>
        <v/>
      </c>
      <c r="X9" s="22" t="str">
        <f t="shared" si="9"/>
        <v/>
      </c>
      <c r="Y9" s="22" t="str">
        <f t="shared" si="10"/>
        <v/>
      </c>
      <c r="Z9" s="22"/>
      <c r="AA9" s="1">
        <v>6</v>
      </c>
      <c r="AB9" s="1">
        <v>1</v>
      </c>
      <c r="AC9" s="1" t="s">
        <v>38</v>
      </c>
      <c r="AD9" s="2">
        <v>43939</v>
      </c>
      <c r="AE9" s="2">
        <v>43781</v>
      </c>
      <c r="AF9" s="36">
        <v>144.19999999999999</v>
      </c>
      <c r="AG9" s="36">
        <v>40.79</v>
      </c>
      <c r="AH9" s="36">
        <v>103.41</v>
      </c>
      <c r="AI9" s="36">
        <v>9.0399999999999991</v>
      </c>
      <c r="AK9" s="34" t="e">
        <f t="shared" si="21"/>
        <v>#VALUE!</v>
      </c>
      <c r="AL9" s="34" t="e">
        <f t="shared" si="22"/>
        <v>#VALUE!</v>
      </c>
      <c r="AM9" s="34" t="e">
        <f t="shared" si="23"/>
        <v>#VALUE!</v>
      </c>
      <c r="AN9" s="34" t="e">
        <f t="shared" si="24"/>
        <v>#VALUE!</v>
      </c>
    </row>
    <row r="10" spans="2:40" x14ac:dyDescent="0.25">
      <c r="E10" s="25">
        <f t="shared" si="11"/>
        <v>7</v>
      </c>
      <c r="F10" s="26" t="str">
        <f t="shared" si="12"/>
        <v/>
      </c>
      <c r="G10" s="27" t="str">
        <f t="shared" si="13"/>
        <v/>
      </c>
      <c r="H10" s="28" t="str">
        <f t="shared" si="0"/>
        <v/>
      </c>
      <c r="I10" s="3" t="str">
        <f t="shared" si="14"/>
        <v/>
      </c>
      <c r="J10" s="3" t="str">
        <f t="shared" si="1"/>
        <v xml:space="preserve"> </v>
      </c>
      <c r="K10" s="3" t="str">
        <f t="shared" si="15"/>
        <v/>
      </c>
      <c r="L10" s="30" t="str">
        <f t="shared" si="2"/>
        <v/>
      </c>
      <c r="M10" s="29" t="str">
        <f t="shared" si="16"/>
        <v/>
      </c>
      <c r="N10" s="29" t="str">
        <f t="shared" si="17"/>
        <v/>
      </c>
      <c r="O10" s="29" t="str">
        <f t="shared" si="3"/>
        <v/>
      </c>
      <c r="P10" s="29" t="str">
        <f t="shared" si="4"/>
        <v/>
      </c>
      <c r="Q10" s="29" t="str">
        <f t="shared" si="5"/>
        <v/>
      </c>
      <c r="R10" s="23" t="str">
        <f t="shared" si="6"/>
        <v/>
      </c>
      <c r="S10" s="5" t="str">
        <f t="shared" si="18"/>
        <v/>
      </c>
      <c r="T10" s="5" t="str">
        <f t="shared" si="19"/>
        <v/>
      </c>
      <c r="U10" s="5" t="str">
        <f t="shared" si="20"/>
        <v/>
      </c>
      <c r="V10" s="4" t="str">
        <f t="shared" si="7"/>
        <v/>
      </c>
      <c r="W10" s="6" t="str">
        <f t="shared" si="8"/>
        <v/>
      </c>
      <c r="X10" s="22" t="str">
        <f t="shared" si="9"/>
        <v/>
      </c>
      <c r="Y10" s="22" t="str">
        <f t="shared" si="10"/>
        <v/>
      </c>
      <c r="Z10" s="22"/>
      <c r="AA10" s="1">
        <v>7</v>
      </c>
      <c r="AB10" s="1">
        <v>1</v>
      </c>
      <c r="AC10" s="1" t="s">
        <v>38</v>
      </c>
      <c r="AD10" s="2">
        <v>43969</v>
      </c>
      <c r="AE10" s="2">
        <v>43781</v>
      </c>
      <c r="AF10" s="36">
        <v>144.19999999999999</v>
      </c>
      <c r="AG10" s="36">
        <v>45.03</v>
      </c>
      <c r="AH10" s="36">
        <v>99.17</v>
      </c>
      <c r="AI10" s="36">
        <v>8.9600000000000009</v>
      </c>
      <c r="AK10" s="34" t="e">
        <f t="shared" si="21"/>
        <v>#VALUE!</v>
      </c>
      <c r="AL10" s="34" t="e">
        <f t="shared" si="22"/>
        <v>#VALUE!</v>
      </c>
      <c r="AM10" s="34" t="e">
        <f t="shared" si="23"/>
        <v>#VALUE!</v>
      </c>
      <c r="AN10" s="34" t="e">
        <f t="shared" si="24"/>
        <v>#VALUE!</v>
      </c>
    </row>
    <row r="11" spans="2:40" x14ac:dyDescent="0.25">
      <c r="B11" s="16" t="s">
        <v>14</v>
      </c>
      <c r="C11" s="15">
        <v>43781</v>
      </c>
      <c r="E11" s="25">
        <f t="shared" si="11"/>
        <v>8</v>
      </c>
      <c r="F11" s="26" t="str">
        <f t="shared" si="12"/>
        <v/>
      </c>
      <c r="G11" s="27" t="str">
        <f t="shared" si="13"/>
        <v/>
      </c>
      <c r="H11" s="28" t="str">
        <f t="shared" si="0"/>
        <v/>
      </c>
      <c r="I11" s="3" t="str">
        <f t="shared" si="14"/>
        <v/>
      </c>
      <c r="J11" s="3" t="str">
        <f t="shared" si="1"/>
        <v xml:space="preserve"> </v>
      </c>
      <c r="K11" s="3" t="str">
        <f t="shared" si="15"/>
        <v/>
      </c>
      <c r="L11" s="30" t="str">
        <f t="shared" si="2"/>
        <v/>
      </c>
      <c r="M11" s="29" t="str">
        <f t="shared" si="16"/>
        <v/>
      </c>
      <c r="N11" s="29" t="str">
        <f t="shared" si="17"/>
        <v/>
      </c>
      <c r="O11" s="29" t="str">
        <f t="shared" si="3"/>
        <v/>
      </c>
      <c r="P11" s="29" t="str">
        <f t="shared" si="4"/>
        <v/>
      </c>
      <c r="Q11" s="29" t="str">
        <f t="shared" si="5"/>
        <v/>
      </c>
      <c r="R11" s="23" t="str">
        <f t="shared" si="6"/>
        <v/>
      </c>
      <c r="S11" s="5" t="str">
        <f t="shared" si="18"/>
        <v/>
      </c>
      <c r="T11" s="5" t="str">
        <f t="shared" si="19"/>
        <v/>
      </c>
      <c r="U11" s="5" t="str">
        <f t="shared" si="20"/>
        <v/>
      </c>
      <c r="V11" s="4" t="str">
        <f t="shared" si="7"/>
        <v/>
      </c>
      <c r="W11" s="6" t="str">
        <f t="shared" si="8"/>
        <v/>
      </c>
      <c r="X11" s="22" t="str">
        <f t="shared" si="9"/>
        <v/>
      </c>
      <c r="Y11" s="22" t="str">
        <f t="shared" si="10"/>
        <v/>
      </c>
      <c r="Z11" s="22"/>
      <c r="AA11" s="1">
        <v>8</v>
      </c>
      <c r="AB11" s="1">
        <v>1</v>
      </c>
      <c r="AC11" s="1" t="s">
        <v>38</v>
      </c>
      <c r="AD11" s="2">
        <v>44000</v>
      </c>
      <c r="AE11" s="2">
        <v>43781</v>
      </c>
      <c r="AF11" s="36">
        <v>144.19999999999999</v>
      </c>
      <c r="AG11" s="36">
        <v>42.75</v>
      </c>
      <c r="AH11" s="36">
        <v>101.45</v>
      </c>
      <c r="AI11" s="36">
        <v>8.8699999999999992</v>
      </c>
      <c r="AK11" s="34" t="e">
        <f t="shared" si="21"/>
        <v>#VALUE!</v>
      </c>
      <c r="AL11" s="34" t="e">
        <f t="shared" si="22"/>
        <v>#VALUE!</v>
      </c>
      <c r="AM11" s="34" t="e">
        <f t="shared" si="23"/>
        <v>#VALUE!</v>
      </c>
      <c r="AN11" s="34" t="e">
        <f t="shared" si="24"/>
        <v>#VALUE!</v>
      </c>
    </row>
    <row r="12" spans="2:40" x14ac:dyDescent="0.25">
      <c r="B12" s="11" t="s">
        <v>33</v>
      </c>
      <c r="C12" s="32" t="s">
        <v>36</v>
      </c>
      <c r="E12" s="25">
        <f t="shared" si="11"/>
        <v>9</v>
      </c>
      <c r="F12" s="26" t="str">
        <f t="shared" si="12"/>
        <v/>
      </c>
      <c r="G12" s="27" t="str">
        <f t="shared" si="13"/>
        <v/>
      </c>
      <c r="H12" s="28" t="str">
        <f t="shared" si="0"/>
        <v/>
      </c>
      <c r="I12" s="3" t="str">
        <f t="shared" si="14"/>
        <v/>
      </c>
      <c r="J12" s="3" t="str">
        <f t="shared" si="1"/>
        <v xml:space="preserve"> </v>
      </c>
      <c r="K12" s="3" t="str">
        <f t="shared" si="15"/>
        <v/>
      </c>
      <c r="L12" s="30" t="str">
        <f t="shared" si="2"/>
        <v/>
      </c>
      <c r="M12" s="29" t="str">
        <f t="shared" si="16"/>
        <v/>
      </c>
      <c r="N12" s="29" t="str">
        <f t="shared" si="17"/>
        <v/>
      </c>
      <c r="O12" s="29" t="str">
        <f t="shared" si="3"/>
        <v/>
      </c>
      <c r="P12" s="29" t="str">
        <f t="shared" si="4"/>
        <v/>
      </c>
      <c r="Q12" s="29" t="str">
        <f t="shared" si="5"/>
        <v/>
      </c>
      <c r="R12" s="23" t="str">
        <f t="shared" si="6"/>
        <v/>
      </c>
      <c r="S12" s="5" t="str">
        <f t="shared" si="18"/>
        <v/>
      </c>
      <c r="T12" s="5" t="str">
        <f t="shared" si="19"/>
        <v/>
      </c>
      <c r="U12" s="5" t="str">
        <f t="shared" si="20"/>
        <v/>
      </c>
      <c r="V12" s="4" t="str">
        <f t="shared" si="7"/>
        <v/>
      </c>
      <c r="W12" s="6" t="str">
        <f t="shared" si="8"/>
        <v/>
      </c>
      <c r="X12" s="22" t="str">
        <f t="shared" si="9"/>
        <v/>
      </c>
      <c r="Y12" s="22" t="str">
        <f t="shared" si="10"/>
        <v/>
      </c>
      <c r="Z12" s="22"/>
      <c r="AA12" s="1">
        <v>9</v>
      </c>
      <c r="AB12" s="1">
        <v>1</v>
      </c>
      <c r="AC12" s="1" t="s">
        <v>38</v>
      </c>
      <c r="AD12" s="2">
        <v>44030</v>
      </c>
      <c r="AE12" s="2">
        <v>43781</v>
      </c>
      <c r="AF12" s="36">
        <v>144.19999999999999</v>
      </c>
      <c r="AG12" s="36">
        <v>46.97</v>
      </c>
      <c r="AH12" s="36">
        <v>97.23</v>
      </c>
      <c r="AI12" s="36">
        <v>8.7899999999999991</v>
      </c>
      <c r="AK12" s="34" t="e">
        <f t="shared" si="21"/>
        <v>#VALUE!</v>
      </c>
      <c r="AL12" s="34" t="e">
        <f t="shared" si="22"/>
        <v>#VALUE!</v>
      </c>
      <c r="AM12" s="34" t="e">
        <f t="shared" si="23"/>
        <v>#VALUE!</v>
      </c>
      <c r="AN12" s="34" t="e">
        <f t="shared" si="24"/>
        <v>#VALUE!</v>
      </c>
    </row>
    <row r="13" spans="2:40" x14ac:dyDescent="0.25">
      <c r="B13" s="11" t="s">
        <v>13</v>
      </c>
      <c r="C13" s="14">
        <v>4810</v>
      </c>
      <c r="E13" s="25">
        <f t="shared" si="11"/>
        <v>10</v>
      </c>
      <c r="F13" s="26" t="str">
        <f t="shared" si="12"/>
        <v/>
      </c>
      <c r="G13" s="27" t="str">
        <f t="shared" si="13"/>
        <v/>
      </c>
      <c r="H13" s="28" t="str">
        <f t="shared" si="0"/>
        <v/>
      </c>
      <c r="I13" s="3" t="str">
        <f t="shared" si="14"/>
        <v/>
      </c>
      <c r="J13" s="3" t="str">
        <f t="shared" si="1"/>
        <v xml:space="preserve"> </v>
      </c>
      <c r="K13" s="3" t="str">
        <f t="shared" si="15"/>
        <v/>
      </c>
      <c r="L13" s="30" t="str">
        <f t="shared" si="2"/>
        <v/>
      </c>
      <c r="M13" s="29" t="str">
        <f t="shared" si="16"/>
        <v/>
      </c>
      <c r="N13" s="29" t="str">
        <f t="shared" si="17"/>
        <v/>
      </c>
      <c r="O13" s="29" t="str">
        <f t="shared" si="3"/>
        <v/>
      </c>
      <c r="P13" s="29" t="str">
        <f t="shared" si="4"/>
        <v/>
      </c>
      <c r="Q13" s="29" t="str">
        <f t="shared" si="5"/>
        <v/>
      </c>
      <c r="R13" s="23" t="str">
        <f t="shared" si="6"/>
        <v/>
      </c>
      <c r="S13" s="5" t="str">
        <f t="shared" si="18"/>
        <v/>
      </c>
      <c r="T13" s="5" t="str">
        <f t="shared" si="19"/>
        <v/>
      </c>
      <c r="U13" s="5" t="str">
        <f t="shared" si="20"/>
        <v/>
      </c>
      <c r="V13" s="4" t="str">
        <f t="shared" si="7"/>
        <v/>
      </c>
      <c r="W13" s="6" t="str">
        <f t="shared" si="8"/>
        <v/>
      </c>
      <c r="X13" s="22" t="str">
        <f t="shared" si="9"/>
        <v/>
      </c>
      <c r="Y13" s="22" t="str">
        <f t="shared" si="10"/>
        <v/>
      </c>
      <c r="Z13" s="22"/>
      <c r="AA13" s="1">
        <v>10</v>
      </c>
      <c r="AB13" s="1">
        <v>1</v>
      </c>
      <c r="AC13" s="1" t="s">
        <v>38</v>
      </c>
      <c r="AD13" s="2">
        <v>44061</v>
      </c>
      <c r="AE13" s="2">
        <v>43781</v>
      </c>
      <c r="AF13" s="36">
        <v>144.19999999999999</v>
      </c>
      <c r="AG13" s="36">
        <v>44.8</v>
      </c>
      <c r="AH13" s="36">
        <v>99.4</v>
      </c>
      <c r="AI13" s="36">
        <v>8.69</v>
      </c>
      <c r="AK13" s="34" t="e">
        <f t="shared" si="21"/>
        <v>#VALUE!</v>
      </c>
      <c r="AL13" s="34" t="e">
        <f t="shared" si="22"/>
        <v>#VALUE!</v>
      </c>
      <c r="AM13" s="34" t="e">
        <f t="shared" si="23"/>
        <v>#VALUE!</v>
      </c>
      <c r="AN13" s="34" t="e">
        <f t="shared" si="24"/>
        <v>#VALUE!</v>
      </c>
    </row>
    <row r="14" spans="2:40" x14ac:dyDescent="0.25">
      <c r="B14" s="11" t="s">
        <v>12</v>
      </c>
      <c r="C14" s="13">
        <f>2.2492%*12</f>
        <v>0.26990400000000003</v>
      </c>
      <c r="E14" s="25">
        <f t="shared" si="11"/>
        <v>11</v>
      </c>
      <c r="F14" s="26" t="str">
        <f t="shared" si="12"/>
        <v/>
      </c>
      <c r="G14" s="27" t="str">
        <f t="shared" si="13"/>
        <v/>
      </c>
      <c r="H14" s="28" t="str">
        <f t="shared" si="0"/>
        <v/>
      </c>
      <c r="I14" s="3" t="str">
        <f t="shared" si="14"/>
        <v/>
      </c>
      <c r="J14" s="3" t="str">
        <f t="shared" si="1"/>
        <v xml:space="preserve"> </v>
      </c>
      <c r="K14" s="3" t="str">
        <f t="shared" si="15"/>
        <v/>
      </c>
      <c r="L14" s="30" t="str">
        <f t="shared" si="2"/>
        <v/>
      </c>
      <c r="M14" s="29" t="str">
        <f t="shared" si="16"/>
        <v/>
      </c>
      <c r="N14" s="29" t="str">
        <f t="shared" si="17"/>
        <v/>
      </c>
      <c r="O14" s="29" t="str">
        <f t="shared" si="3"/>
        <v/>
      </c>
      <c r="P14" s="29" t="str">
        <f t="shared" si="4"/>
        <v/>
      </c>
      <c r="Q14" s="29" t="str">
        <f t="shared" si="5"/>
        <v/>
      </c>
      <c r="R14" s="23" t="str">
        <f t="shared" si="6"/>
        <v/>
      </c>
      <c r="S14" s="5" t="str">
        <f t="shared" si="18"/>
        <v/>
      </c>
      <c r="T14" s="5" t="str">
        <f t="shared" si="19"/>
        <v/>
      </c>
      <c r="U14" s="5" t="str">
        <f t="shared" si="20"/>
        <v/>
      </c>
      <c r="V14" s="4" t="str">
        <f t="shared" si="7"/>
        <v/>
      </c>
      <c r="W14" s="6" t="str">
        <f t="shared" si="8"/>
        <v/>
      </c>
      <c r="X14" s="22" t="str">
        <f t="shared" si="9"/>
        <v/>
      </c>
      <c r="Y14" s="22" t="str">
        <f t="shared" si="10"/>
        <v/>
      </c>
      <c r="Z14" s="22"/>
      <c r="AA14" s="1">
        <v>11</v>
      </c>
      <c r="AB14" s="1">
        <v>1</v>
      </c>
      <c r="AC14" s="1" t="s">
        <v>38</v>
      </c>
      <c r="AD14" s="2">
        <v>44092</v>
      </c>
      <c r="AE14" s="2">
        <v>43781</v>
      </c>
      <c r="AF14" s="36">
        <v>144.19999999999999</v>
      </c>
      <c r="AG14" s="36">
        <v>45.83</v>
      </c>
      <c r="AH14" s="36">
        <v>98.37</v>
      </c>
      <c r="AI14" s="36">
        <v>8.6</v>
      </c>
      <c r="AK14" s="34" t="e">
        <f t="shared" si="21"/>
        <v>#VALUE!</v>
      </c>
      <c r="AL14" s="34" t="e">
        <f t="shared" si="22"/>
        <v>#VALUE!</v>
      </c>
      <c r="AM14" s="34" t="e">
        <f t="shared" si="23"/>
        <v>#VALUE!</v>
      </c>
      <c r="AN14" s="34" t="e">
        <f t="shared" si="24"/>
        <v>#VALUE!</v>
      </c>
    </row>
    <row r="15" spans="2:40" x14ac:dyDescent="0.25">
      <c r="B15" s="11" t="s">
        <v>11</v>
      </c>
      <c r="C15" s="13">
        <f>2.2492%*12</f>
        <v>0.26990400000000003</v>
      </c>
      <c r="E15" s="25">
        <f t="shared" si="11"/>
        <v>12</v>
      </c>
      <c r="F15" s="26" t="str">
        <f t="shared" si="12"/>
        <v/>
      </c>
      <c r="G15" s="27" t="str">
        <f t="shared" si="13"/>
        <v/>
      </c>
      <c r="H15" s="28" t="str">
        <f t="shared" si="0"/>
        <v/>
      </c>
      <c r="I15" s="3" t="str">
        <f t="shared" si="14"/>
        <v/>
      </c>
      <c r="J15" s="3" t="str">
        <f t="shared" si="1"/>
        <v xml:space="preserve"> </v>
      </c>
      <c r="K15" s="3" t="str">
        <f t="shared" si="15"/>
        <v/>
      </c>
      <c r="L15" s="30" t="str">
        <f t="shared" si="2"/>
        <v/>
      </c>
      <c r="M15" s="29" t="str">
        <f t="shared" si="16"/>
        <v/>
      </c>
      <c r="N15" s="29" t="str">
        <f t="shared" si="17"/>
        <v/>
      </c>
      <c r="O15" s="29" t="str">
        <f t="shared" si="3"/>
        <v/>
      </c>
      <c r="P15" s="29" t="str">
        <f t="shared" si="4"/>
        <v/>
      </c>
      <c r="Q15" s="29" t="str">
        <f t="shared" si="5"/>
        <v/>
      </c>
      <c r="R15" s="23" t="str">
        <f t="shared" si="6"/>
        <v/>
      </c>
      <c r="S15" s="5" t="str">
        <f t="shared" si="18"/>
        <v/>
      </c>
      <c r="T15" s="5" t="str">
        <f t="shared" si="19"/>
        <v/>
      </c>
      <c r="U15" s="5" t="str">
        <f t="shared" si="20"/>
        <v/>
      </c>
      <c r="V15" s="4" t="str">
        <f t="shared" si="7"/>
        <v/>
      </c>
      <c r="W15" s="6" t="str">
        <f t="shared" si="8"/>
        <v/>
      </c>
      <c r="X15" s="22" t="str">
        <f t="shared" si="9"/>
        <v/>
      </c>
      <c r="Y15" s="22" t="str">
        <f t="shared" si="10"/>
        <v/>
      </c>
      <c r="Z15" s="22"/>
      <c r="AA15" s="1">
        <v>12</v>
      </c>
      <c r="AB15" s="1">
        <v>1</v>
      </c>
      <c r="AC15" s="1" t="s">
        <v>38</v>
      </c>
      <c r="AD15" s="2">
        <v>44122</v>
      </c>
      <c r="AE15" s="2">
        <v>43781</v>
      </c>
      <c r="AF15" s="36">
        <v>144.19999999999999</v>
      </c>
      <c r="AG15" s="36">
        <v>50.01</v>
      </c>
      <c r="AH15" s="36">
        <v>94.19</v>
      </c>
      <c r="AI15" s="36">
        <v>8.51</v>
      </c>
      <c r="AK15" s="34" t="e">
        <f t="shared" si="21"/>
        <v>#VALUE!</v>
      </c>
      <c r="AL15" s="34" t="e">
        <f t="shared" si="22"/>
        <v>#VALUE!</v>
      </c>
      <c r="AM15" s="34" t="e">
        <f t="shared" si="23"/>
        <v>#VALUE!</v>
      </c>
      <c r="AN15" s="34" t="e">
        <f t="shared" si="24"/>
        <v>#VALUE!</v>
      </c>
    </row>
    <row r="16" spans="2:40" x14ac:dyDescent="0.25">
      <c r="B16" s="11" t="s">
        <v>10</v>
      </c>
      <c r="C16" s="12">
        <v>60</v>
      </c>
      <c r="E16" s="25">
        <f t="shared" si="11"/>
        <v>13</v>
      </c>
      <c r="F16" s="26" t="str">
        <f t="shared" si="12"/>
        <v/>
      </c>
      <c r="G16" s="27" t="str">
        <f t="shared" si="13"/>
        <v/>
      </c>
      <c r="H16" s="28" t="str">
        <f t="shared" si="0"/>
        <v/>
      </c>
      <c r="I16" s="3" t="str">
        <f t="shared" si="14"/>
        <v/>
      </c>
      <c r="J16" s="3" t="str">
        <f t="shared" si="1"/>
        <v xml:space="preserve"> </v>
      </c>
      <c r="K16" s="3" t="str">
        <f t="shared" si="15"/>
        <v/>
      </c>
      <c r="L16" s="30" t="str">
        <f t="shared" si="2"/>
        <v/>
      </c>
      <c r="M16" s="29" t="str">
        <f t="shared" si="16"/>
        <v/>
      </c>
      <c r="N16" s="29" t="str">
        <f t="shared" si="17"/>
        <v/>
      </c>
      <c r="O16" s="29" t="str">
        <f t="shared" si="3"/>
        <v/>
      </c>
      <c r="P16" s="29" t="str">
        <f t="shared" si="4"/>
        <v/>
      </c>
      <c r="Q16" s="29" t="str">
        <f t="shared" si="5"/>
        <v/>
      </c>
      <c r="R16" s="23" t="str">
        <f t="shared" si="6"/>
        <v/>
      </c>
      <c r="S16" s="5" t="str">
        <f t="shared" si="18"/>
        <v/>
      </c>
      <c r="T16" s="5" t="str">
        <f t="shared" si="19"/>
        <v/>
      </c>
      <c r="U16" s="5" t="str">
        <f t="shared" si="20"/>
        <v/>
      </c>
      <c r="V16" s="4" t="str">
        <f t="shared" si="7"/>
        <v/>
      </c>
      <c r="W16" s="6" t="str">
        <f t="shared" si="8"/>
        <v/>
      </c>
      <c r="X16" s="22" t="str">
        <f t="shared" si="9"/>
        <v/>
      </c>
      <c r="Y16" s="22" t="str">
        <f t="shared" si="10"/>
        <v/>
      </c>
      <c r="Z16" s="22"/>
      <c r="AA16" s="1">
        <v>13</v>
      </c>
      <c r="AB16" s="1">
        <v>1</v>
      </c>
      <c r="AC16" s="1" t="s">
        <v>38</v>
      </c>
      <c r="AD16" s="2">
        <v>44153</v>
      </c>
      <c r="AE16" s="2">
        <v>43781</v>
      </c>
      <c r="AF16" s="36">
        <v>144.19999999999999</v>
      </c>
      <c r="AG16" s="36">
        <v>48.02</v>
      </c>
      <c r="AH16" s="36">
        <v>96.18</v>
      </c>
      <c r="AI16" s="36">
        <v>8.41</v>
      </c>
      <c r="AK16" s="34" t="e">
        <f t="shared" si="21"/>
        <v>#VALUE!</v>
      </c>
      <c r="AL16" s="34" t="e">
        <f t="shared" si="22"/>
        <v>#VALUE!</v>
      </c>
      <c r="AM16" s="34" t="e">
        <f t="shared" si="23"/>
        <v>#VALUE!</v>
      </c>
      <c r="AN16" s="34" t="e">
        <f t="shared" si="24"/>
        <v>#VALUE!</v>
      </c>
    </row>
    <row r="17" spans="2:40" x14ac:dyDescent="0.25">
      <c r="B17" s="11" t="s">
        <v>9</v>
      </c>
      <c r="C17" s="12">
        <v>60</v>
      </c>
      <c r="E17" s="25">
        <f t="shared" si="11"/>
        <v>14</v>
      </c>
      <c r="F17" s="26" t="str">
        <f t="shared" si="12"/>
        <v/>
      </c>
      <c r="G17" s="27" t="str">
        <f t="shared" si="13"/>
        <v/>
      </c>
      <c r="H17" s="28" t="str">
        <f t="shared" si="0"/>
        <v/>
      </c>
      <c r="I17" s="3" t="str">
        <f t="shared" si="14"/>
        <v/>
      </c>
      <c r="J17" s="3" t="str">
        <f t="shared" si="1"/>
        <v xml:space="preserve"> </v>
      </c>
      <c r="K17" s="3" t="str">
        <f t="shared" si="15"/>
        <v/>
      </c>
      <c r="L17" s="30" t="str">
        <f t="shared" si="2"/>
        <v/>
      </c>
      <c r="M17" s="29" t="str">
        <f t="shared" si="16"/>
        <v/>
      </c>
      <c r="N17" s="29" t="str">
        <f t="shared" si="17"/>
        <v/>
      </c>
      <c r="O17" s="29" t="str">
        <f t="shared" si="3"/>
        <v/>
      </c>
      <c r="P17" s="29" t="str">
        <f t="shared" si="4"/>
        <v/>
      </c>
      <c r="Q17" s="29" t="str">
        <f t="shared" si="5"/>
        <v/>
      </c>
      <c r="R17" s="23" t="str">
        <f t="shared" si="6"/>
        <v/>
      </c>
      <c r="S17" s="5" t="str">
        <f t="shared" si="18"/>
        <v/>
      </c>
      <c r="T17" s="5" t="str">
        <f t="shared" si="19"/>
        <v/>
      </c>
      <c r="U17" s="5" t="str">
        <f t="shared" si="20"/>
        <v/>
      </c>
      <c r="V17" s="4" t="str">
        <f t="shared" si="7"/>
        <v/>
      </c>
      <c r="W17" s="6" t="str">
        <f t="shared" si="8"/>
        <v/>
      </c>
      <c r="X17" s="22" t="str">
        <f t="shared" si="9"/>
        <v/>
      </c>
      <c r="Y17" s="22" t="str">
        <f t="shared" si="10"/>
        <v/>
      </c>
      <c r="Z17" s="22"/>
      <c r="AA17" s="1">
        <v>14</v>
      </c>
      <c r="AB17" s="1">
        <v>1</v>
      </c>
      <c r="AC17" s="1" t="s">
        <v>38</v>
      </c>
      <c r="AD17" s="2">
        <v>44183</v>
      </c>
      <c r="AE17" s="2">
        <v>43781</v>
      </c>
      <c r="AF17" s="36">
        <v>144.19999999999999</v>
      </c>
      <c r="AG17" s="36">
        <v>52.18</v>
      </c>
      <c r="AH17" s="36">
        <v>92.02</v>
      </c>
      <c r="AI17" s="36">
        <v>8.31</v>
      </c>
      <c r="AK17" s="34" t="e">
        <f t="shared" si="21"/>
        <v>#VALUE!</v>
      </c>
      <c r="AL17" s="34" t="e">
        <f t="shared" si="22"/>
        <v>#VALUE!</v>
      </c>
      <c r="AM17" s="34" t="e">
        <f t="shared" si="23"/>
        <v>#VALUE!</v>
      </c>
      <c r="AN17" s="34" t="e">
        <f t="shared" si="24"/>
        <v>#VALUE!</v>
      </c>
    </row>
    <row r="18" spans="2:40" x14ac:dyDescent="0.25">
      <c r="B18" s="11" t="s">
        <v>8</v>
      </c>
      <c r="C18" s="10">
        <v>43787</v>
      </c>
      <c r="E18" s="25">
        <f t="shared" si="11"/>
        <v>15</v>
      </c>
      <c r="F18" s="26" t="str">
        <f t="shared" si="12"/>
        <v/>
      </c>
      <c r="G18" s="27" t="str">
        <f t="shared" si="13"/>
        <v/>
      </c>
      <c r="H18" s="28" t="str">
        <f t="shared" si="0"/>
        <v/>
      </c>
      <c r="I18" s="3" t="str">
        <f t="shared" si="14"/>
        <v/>
      </c>
      <c r="J18" s="3" t="str">
        <f t="shared" si="1"/>
        <v xml:space="preserve"> </v>
      </c>
      <c r="K18" s="3" t="str">
        <f t="shared" si="15"/>
        <v/>
      </c>
      <c r="L18" s="30" t="str">
        <f t="shared" si="2"/>
        <v/>
      </c>
      <c r="M18" s="29" t="str">
        <f t="shared" si="16"/>
        <v/>
      </c>
      <c r="N18" s="29" t="str">
        <f t="shared" si="17"/>
        <v/>
      </c>
      <c r="O18" s="29" t="str">
        <f t="shared" si="3"/>
        <v/>
      </c>
      <c r="P18" s="29" t="str">
        <f t="shared" si="4"/>
        <v/>
      </c>
      <c r="Q18" s="29" t="str">
        <f t="shared" si="5"/>
        <v/>
      </c>
      <c r="R18" s="23" t="str">
        <f t="shared" si="6"/>
        <v/>
      </c>
      <c r="S18" s="5" t="str">
        <f t="shared" si="18"/>
        <v/>
      </c>
      <c r="T18" s="5" t="str">
        <f t="shared" si="19"/>
        <v/>
      </c>
      <c r="U18" s="5" t="str">
        <f t="shared" si="20"/>
        <v/>
      </c>
      <c r="V18" s="4" t="str">
        <f t="shared" si="7"/>
        <v/>
      </c>
      <c r="W18" s="6" t="str">
        <f t="shared" si="8"/>
        <v/>
      </c>
      <c r="X18" s="22" t="str">
        <f t="shared" si="9"/>
        <v/>
      </c>
      <c r="Y18" s="22" t="str">
        <f t="shared" si="10"/>
        <v/>
      </c>
      <c r="Z18" s="22"/>
      <c r="AA18" s="1">
        <v>15</v>
      </c>
      <c r="AB18" s="1">
        <v>1</v>
      </c>
      <c r="AC18" s="1" t="s">
        <v>38</v>
      </c>
      <c r="AD18" s="2">
        <v>44214</v>
      </c>
      <c r="AE18" s="2">
        <v>43781</v>
      </c>
      <c r="AF18" s="36">
        <v>144.19999999999999</v>
      </c>
      <c r="AG18" s="36">
        <v>50.16</v>
      </c>
      <c r="AH18" s="36">
        <v>94.04</v>
      </c>
      <c r="AI18" s="36">
        <v>8.2100000000000009</v>
      </c>
      <c r="AK18" s="34" t="e">
        <f t="shared" si="21"/>
        <v>#VALUE!</v>
      </c>
      <c r="AL18" s="34" t="e">
        <f t="shared" si="22"/>
        <v>#VALUE!</v>
      </c>
      <c r="AM18" s="34" t="e">
        <f t="shared" si="23"/>
        <v>#VALUE!</v>
      </c>
      <c r="AN18" s="34" t="e">
        <f t="shared" si="24"/>
        <v>#VALUE!</v>
      </c>
    </row>
    <row r="19" spans="2:40" x14ac:dyDescent="0.25">
      <c r="B19" s="9" t="s">
        <v>7</v>
      </c>
      <c r="C19" s="8" t="str">
        <f>IFERROR(TRUNC(VLOOKUP($C$17,$E$4:$L$69,8),2),"")</f>
        <v/>
      </c>
      <c r="E19" s="25">
        <f t="shared" si="11"/>
        <v>16</v>
      </c>
      <c r="F19" s="26" t="str">
        <f t="shared" si="12"/>
        <v/>
      </c>
      <c r="G19" s="27" t="str">
        <f t="shared" si="13"/>
        <v/>
      </c>
      <c r="H19" s="28" t="str">
        <f t="shared" si="0"/>
        <v/>
      </c>
      <c r="I19" s="3" t="str">
        <f t="shared" si="14"/>
        <v/>
      </c>
      <c r="J19" s="3" t="str">
        <f t="shared" si="1"/>
        <v xml:space="preserve"> </v>
      </c>
      <c r="K19" s="3" t="str">
        <f t="shared" si="15"/>
        <v/>
      </c>
      <c r="L19" s="30" t="str">
        <f t="shared" si="2"/>
        <v/>
      </c>
      <c r="M19" s="29" t="str">
        <f t="shared" si="16"/>
        <v/>
      </c>
      <c r="N19" s="29" t="str">
        <f t="shared" si="17"/>
        <v/>
      </c>
      <c r="O19" s="29" t="str">
        <f t="shared" si="3"/>
        <v/>
      </c>
      <c r="P19" s="29" t="str">
        <f t="shared" si="4"/>
        <v/>
      </c>
      <c r="Q19" s="29" t="str">
        <f t="shared" si="5"/>
        <v/>
      </c>
      <c r="R19" s="23" t="str">
        <f t="shared" si="6"/>
        <v/>
      </c>
      <c r="S19" s="5" t="str">
        <f t="shared" si="18"/>
        <v/>
      </c>
      <c r="T19" s="5" t="str">
        <f t="shared" si="19"/>
        <v/>
      </c>
      <c r="U19" s="5" t="str">
        <f t="shared" si="20"/>
        <v/>
      </c>
      <c r="V19" s="4" t="str">
        <f t="shared" si="7"/>
        <v/>
      </c>
      <c r="W19" s="6" t="str">
        <f t="shared" si="8"/>
        <v/>
      </c>
      <c r="X19" s="22" t="str">
        <f t="shared" si="9"/>
        <v/>
      </c>
      <c r="Y19" s="22" t="str">
        <f t="shared" si="10"/>
        <v/>
      </c>
      <c r="Z19" s="22"/>
      <c r="AA19" s="1">
        <v>16</v>
      </c>
      <c r="AB19" s="1">
        <v>1</v>
      </c>
      <c r="AC19" s="1" t="s">
        <v>38</v>
      </c>
      <c r="AD19" s="2">
        <v>44245</v>
      </c>
      <c r="AE19" s="2">
        <v>43781</v>
      </c>
      <c r="AF19" s="36">
        <v>144.19999999999999</v>
      </c>
      <c r="AG19" s="36">
        <v>51.2</v>
      </c>
      <c r="AH19" s="36">
        <v>93</v>
      </c>
      <c r="AI19" s="36">
        <v>8.11</v>
      </c>
      <c r="AK19" s="34" t="e">
        <f t="shared" si="21"/>
        <v>#VALUE!</v>
      </c>
      <c r="AL19" s="34" t="e">
        <f t="shared" si="22"/>
        <v>#VALUE!</v>
      </c>
      <c r="AM19" s="34" t="e">
        <f t="shared" si="23"/>
        <v>#VALUE!</v>
      </c>
      <c r="AN19" s="34" t="e">
        <f t="shared" si="24"/>
        <v>#VALUE!</v>
      </c>
    </row>
    <row r="20" spans="2:40" x14ac:dyDescent="0.25">
      <c r="E20" s="25">
        <f t="shared" si="11"/>
        <v>17</v>
      </c>
      <c r="F20" s="26" t="str">
        <f t="shared" si="12"/>
        <v/>
      </c>
      <c r="G20" s="27" t="str">
        <f t="shared" si="13"/>
        <v/>
      </c>
      <c r="H20" s="28" t="str">
        <f t="shared" si="0"/>
        <v/>
      </c>
      <c r="I20" s="3" t="str">
        <f t="shared" si="14"/>
        <v/>
      </c>
      <c r="J20" s="3" t="str">
        <f t="shared" si="1"/>
        <v xml:space="preserve"> </v>
      </c>
      <c r="K20" s="3" t="str">
        <f t="shared" si="15"/>
        <v/>
      </c>
      <c r="L20" s="30" t="str">
        <f t="shared" si="2"/>
        <v/>
      </c>
      <c r="M20" s="29" t="str">
        <f t="shared" si="16"/>
        <v/>
      </c>
      <c r="N20" s="29" t="str">
        <f t="shared" si="17"/>
        <v/>
      </c>
      <c r="O20" s="29" t="str">
        <f t="shared" si="3"/>
        <v/>
      </c>
      <c r="P20" s="29" t="str">
        <f t="shared" si="4"/>
        <v/>
      </c>
      <c r="Q20" s="29" t="str">
        <f t="shared" si="5"/>
        <v/>
      </c>
      <c r="R20" s="23" t="str">
        <f t="shared" si="6"/>
        <v/>
      </c>
      <c r="S20" s="5" t="str">
        <f t="shared" si="18"/>
        <v/>
      </c>
      <c r="T20" s="5" t="str">
        <f t="shared" si="19"/>
        <v/>
      </c>
      <c r="U20" s="5" t="str">
        <f t="shared" si="20"/>
        <v/>
      </c>
      <c r="V20" s="4" t="str">
        <f t="shared" si="7"/>
        <v/>
      </c>
      <c r="W20" s="6" t="str">
        <f t="shared" si="8"/>
        <v/>
      </c>
      <c r="X20" s="22" t="str">
        <f t="shared" si="9"/>
        <v/>
      </c>
      <c r="Y20" s="22" t="str">
        <f t="shared" si="10"/>
        <v/>
      </c>
      <c r="Z20" s="22"/>
      <c r="AA20" s="1">
        <v>17</v>
      </c>
      <c r="AB20" s="1">
        <v>1</v>
      </c>
      <c r="AC20" s="1" t="s">
        <v>38</v>
      </c>
      <c r="AD20" s="2">
        <v>44273</v>
      </c>
      <c r="AE20" s="2">
        <v>43781</v>
      </c>
      <c r="AF20" s="36">
        <v>144.19999999999999</v>
      </c>
      <c r="AG20" s="36">
        <v>61.26</v>
      </c>
      <c r="AH20" s="36">
        <v>82.94</v>
      </c>
      <c r="AI20" s="36">
        <v>8.01</v>
      </c>
      <c r="AK20" s="34" t="e">
        <f t="shared" si="21"/>
        <v>#VALUE!</v>
      </c>
      <c r="AL20" s="34" t="e">
        <f t="shared" si="22"/>
        <v>#VALUE!</v>
      </c>
      <c r="AM20" s="34" t="e">
        <f t="shared" si="23"/>
        <v>#VALUE!</v>
      </c>
      <c r="AN20" s="34" t="e">
        <f t="shared" si="24"/>
        <v>#VALUE!</v>
      </c>
    </row>
    <row r="21" spans="2:40" x14ac:dyDescent="0.25">
      <c r="E21" s="25">
        <f t="shared" si="11"/>
        <v>18</v>
      </c>
      <c r="F21" s="26" t="str">
        <f t="shared" si="12"/>
        <v/>
      </c>
      <c r="G21" s="27" t="str">
        <f t="shared" si="13"/>
        <v/>
      </c>
      <c r="H21" s="28" t="str">
        <f t="shared" si="0"/>
        <v/>
      </c>
      <c r="I21" s="3" t="str">
        <f t="shared" si="14"/>
        <v/>
      </c>
      <c r="J21" s="3" t="str">
        <f t="shared" si="1"/>
        <v xml:space="preserve"> </v>
      </c>
      <c r="K21" s="3" t="str">
        <f t="shared" si="15"/>
        <v/>
      </c>
      <c r="L21" s="30" t="str">
        <f t="shared" si="2"/>
        <v/>
      </c>
      <c r="M21" s="29" t="str">
        <f t="shared" si="16"/>
        <v/>
      </c>
      <c r="N21" s="29" t="str">
        <f t="shared" si="17"/>
        <v/>
      </c>
      <c r="O21" s="29" t="str">
        <f t="shared" si="3"/>
        <v/>
      </c>
      <c r="P21" s="29" t="str">
        <f t="shared" si="4"/>
        <v/>
      </c>
      <c r="Q21" s="29" t="str">
        <f t="shared" si="5"/>
        <v/>
      </c>
      <c r="R21" s="23" t="str">
        <f t="shared" si="6"/>
        <v/>
      </c>
      <c r="S21" s="5" t="str">
        <f t="shared" si="18"/>
        <v/>
      </c>
      <c r="T21" s="5" t="str">
        <f t="shared" si="19"/>
        <v/>
      </c>
      <c r="U21" s="5" t="str">
        <f t="shared" si="20"/>
        <v/>
      </c>
      <c r="V21" s="4" t="str">
        <f t="shared" si="7"/>
        <v/>
      </c>
      <c r="W21" s="6" t="str">
        <f t="shared" si="8"/>
        <v/>
      </c>
      <c r="X21" s="22" t="str">
        <f t="shared" si="9"/>
        <v/>
      </c>
      <c r="Y21" s="22" t="str">
        <f t="shared" si="10"/>
        <v/>
      </c>
      <c r="Z21" s="22"/>
      <c r="AA21" s="1">
        <v>18</v>
      </c>
      <c r="AB21" s="1">
        <v>1</v>
      </c>
      <c r="AC21" s="1" t="s">
        <v>38</v>
      </c>
      <c r="AD21" s="2">
        <v>44304</v>
      </c>
      <c r="AE21" s="2">
        <v>43781</v>
      </c>
      <c r="AF21" s="36">
        <v>144.19999999999999</v>
      </c>
      <c r="AG21" s="36">
        <v>53.78</v>
      </c>
      <c r="AH21" s="36">
        <v>90.42</v>
      </c>
      <c r="AI21" s="36">
        <v>7.88</v>
      </c>
      <c r="AK21" s="34" t="e">
        <f t="shared" si="21"/>
        <v>#VALUE!</v>
      </c>
      <c r="AL21" s="34" t="e">
        <f t="shared" si="22"/>
        <v>#VALUE!</v>
      </c>
      <c r="AM21" s="34" t="e">
        <f t="shared" si="23"/>
        <v>#VALUE!</v>
      </c>
      <c r="AN21" s="34" t="e">
        <f t="shared" si="24"/>
        <v>#VALUE!</v>
      </c>
    </row>
    <row r="22" spans="2:40" x14ac:dyDescent="0.25">
      <c r="E22" s="25">
        <f t="shared" si="11"/>
        <v>19</v>
      </c>
      <c r="F22" s="26" t="str">
        <f t="shared" si="12"/>
        <v/>
      </c>
      <c r="G22" s="27" t="str">
        <f t="shared" si="13"/>
        <v/>
      </c>
      <c r="H22" s="28" t="str">
        <f t="shared" si="0"/>
        <v/>
      </c>
      <c r="I22" s="3" t="str">
        <f t="shared" si="14"/>
        <v/>
      </c>
      <c r="J22" s="3" t="str">
        <f t="shared" si="1"/>
        <v xml:space="preserve"> </v>
      </c>
      <c r="K22" s="3" t="str">
        <f t="shared" si="15"/>
        <v/>
      </c>
      <c r="L22" s="30" t="str">
        <f t="shared" si="2"/>
        <v/>
      </c>
      <c r="M22" s="29" t="str">
        <f t="shared" si="16"/>
        <v/>
      </c>
      <c r="N22" s="29" t="str">
        <f t="shared" si="17"/>
        <v/>
      </c>
      <c r="O22" s="29" t="str">
        <f t="shared" si="3"/>
        <v/>
      </c>
      <c r="P22" s="29" t="str">
        <f t="shared" si="4"/>
        <v/>
      </c>
      <c r="Q22" s="29" t="str">
        <f t="shared" si="5"/>
        <v/>
      </c>
      <c r="R22" s="23" t="str">
        <f t="shared" si="6"/>
        <v/>
      </c>
      <c r="S22" s="5" t="str">
        <f t="shared" si="18"/>
        <v/>
      </c>
      <c r="T22" s="5" t="str">
        <f t="shared" si="19"/>
        <v/>
      </c>
      <c r="U22" s="5" t="str">
        <f t="shared" si="20"/>
        <v/>
      </c>
      <c r="V22" s="4" t="str">
        <f t="shared" si="7"/>
        <v/>
      </c>
      <c r="W22" s="6" t="str">
        <f t="shared" si="8"/>
        <v/>
      </c>
      <c r="X22" s="22" t="str">
        <f t="shared" si="9"/>
        <v/>
      </c>
      <c r="Y22" s="22" t="str">
        <f t="shared" si="10"/>
        <v/>
      </c>
      <c r="Z22" s="22"/>
      <c r="AA22" s="1">
        <v>19</v>
      </c>
      <c r="AB22" s="1">
        <v>1</v>
      </c>
      <c r="AC22" s="1" t="s">
        <v>38</v>
      </c>
      <c r="AD22" s="2">
        <v>44334</v>
      </c>
      <c r="AE22" s="2">
        <v>43781</v>
      </c>
      <c r="AF22" s="36">
        <v>144.19999999999999</v>
      </c>
      <c r="AG22" s="36">
        <v>57.89</v>
      </c>
      <c r="AH22" s="36">
        <v>86.31</v>
      </c>
      <c r="AI22" s="36">
        <v>7.78</v>
      </c>
      <c r="AK22" s="34" t="e">
        <f t="shared" si="21"/>
        <v>#VALUE!</v>
      </c>
      <c r="AL22" s="34" t="e">
        <f t="shared" si="22"/>
        <v>#VALUE!</v>
      </c>
      <c r="AM22" s="34" t="e">
        <f t="shared" si="23"/>
        <v>#VALUE!</v>
      </c>
      <c r="AN22" s="34" t="e">
        <f t="shared" si="24"/>
        <v>#VALUE!</v>
      </c>
    </row>
    <row r="23" spans="2:40" x14ac:dyDescent="0.25">
      <c r="E23" s="25">
        <f t="shared" si="11"/>
        <v>20</v>
      </c>
      <c r="F23" s="26" t="str">
        <f t="shared" si="12"/>
        <v/>
      </c>
      <c r="G23" s="27" t="str">
        <f t="shared" si="13"/>
        <v/>
      </c>
      <c r="H23" s="28" t="str">
        <f t="shared" si="0"/>
        <v/>
      </c>
      <c r="I23" s="3" t="str">
        <f t="shared" si="14"/>
        <v/>
      </c>
      <c r="J23" s="3" t="str">
        <f t="shared" si="1"/>
        <v xml:space="preserve"> </v>
      </c>
      <c r="K23" s="3" t="str">
        <f t="shared" si="15"/>
        <v/>
      </c>
      <c r="L23" s="30" t="str">
        <f t="shared" si="2"/>
        <v/>
      </c>
      <c r="M23" s="29" t="str">
        <f t="shared" si="16"/>
        <v/>
      </c>
      <c r="N23" s="29" t="str">
        <f t="shared" si="17"/>
        <v/>
      </c>
      <c r="O23" s="29" t="str">
        <f t="shared" si="3"/>
        <v/>
      </c>
      <c r="P23" s="29" t="str">
        <f t="shared" si="4"/>
        <v/>
      </c>
      <c r="Q23" s="29" t="str">
        <f t="shared" si="5"/>
        <v/>
      </c>
      <c r="R23" s="23" t="str">
        <f t="shared" si="6"/>
        <v/>
      </c>
      <c r="S23" s="5" t="str">
        <f t="shared" si="18"/>
        <v/>
      </c>
      <c r="T23" s="5" t="str">
        <f t="shared" si="19"/>
        <v/>
      </c>
      <c r="U23" s="5" t="str">
        <f t="shared" si="20"/>
        <v/>
      </c>
      <c r="V23" s="4" t="str">
        <f t="shared" si="7"/>
        <v/>
      </c>
      <c r="W23" s="6" t="str">
        <f t="shared" si="8"/>
        <v/>
      </c>
      <c r="X23" s="22" t="str">
        <f t="shared" si="9"/>
        <v/>
      </c>
      <c r="Y23" s="22" t="str">
        <f t="shared" si="10"/>
        <v/>
      </c>
      <c r="Z23" s="22"/>
      <c r="AA23" s="1">
        <v>20</v>
      </c>
      <c r="AB23" s="1">
        <v>1</v>
      </c>
      <c r="AC23" s="1" t="s">
        <v>38</v>
      </c>
      <c r="AD23" s="2">
        <v>44365</v>
      </c>
      <c r="AE23" s="2">
        <v>43781</v>
      </c>
      <c r="AF23" s="36">
        <v>144.19999999999999</v>
      </c>
      <c r="AG23" s="36">
        <v>56.34</v>
      </c>
      <c r="AH23" s="36">
        <v>87.86</v>
      </c>
      <c r="AI23" s="36">
        <v>7.66</v>
      </c>
      <c r="AK23" s="34" t="e">
        <f t="shared" si="21"/>
        <v>#VALUE!</v>
      </c>
      <c r="AL23" s="34" t="e">
        <f t="shared" si="22"/>
        <v>#VALUE!</v>
      </c>
      <c r="AM23" s="34" t="e">
        <f t="shared" si="23"/>
        <v>#VALUE!</v>
      </c>
      <c r="AN23" s="34" t="e">
        <f t="shared" si="24"/>
        <v>#VALUE!</v>
      </c>
    </row>
    <row r="24" spans="2:40" x14ac:dyDescent="0.25">
      <c r="E24" s="25">
        <f t="shared" si="11"/>
        <v>21</v>
      </c>
      <c r="F24" s="26" t="str">
        <f t="shared" si="12"/>
        <v/>
      </c>
      <c r="G24" s="27" t="str">
        <f t="shared" si="13"/>
        <v/>
      </c>
      <c r="H24" s="28" t="str">
        <f t="shared" si="0"/>
        <v/>
      </c>
      <c r="I24" s="7" t="str">
        <f t="shared" si="14"/>
        <v/>
      </c>
      <c r="J24" s="3" t="str">
        <f t="shared" si="1"/>
        <v xml:space="preserve"> </v>
      </c>
      <c r="K24" s="3" t="str">
        <f t="shared" si="15"/>
        <v/>
      </c>
      <c r="L24" s="30" t="str">
        <f t="shared" si="2"/>
        <v/>
      </c>
      <c r="M24" s="29" t="str">
        <f t="shared" si="16"/>
        <v/>
      </c>
      <c r="N24" s="29" t="str">
        <f t="shared" si="17"/>
        <v/>
      </c>
      <c r="O24" s="29" t="str">
        <f t="shared" si="3"/>
        <v/>
      </c>
      <c r="P24" s="29" t="str">
        <f t="shared" si="4"/>
        <v/>
      </c>
      <c r="Q24" s="29" t="str">
        <f t="shared" si="5"/>
        <v/>
      </c>
      <c r="R24" s="23" t="str">
        <f t="shared" si="6"/>
        <v/>
      </c>
      <c r="S24" s="5" t="str">
        <f t="shared" si="18"/>
        <v/>
      </c>
      <c r="T24" s="5" t="str">
        <f t="shared" si="19"/>
        <v/>
      </c>
      <c r="U24" s="5" t="str">
        <f t="shared" si="20"/>
        <v/>
      </c>
      <c r="V24" s="4" t="str">
        <f t="shared" si="7"/>
        <v/>
      </c>
      <c r="W24" s="6" t="str">
        <f t="shared" si="8"/>
        <v/>
      </c>
      <c r="X24" s="22" t="str">
        <f t="shared" si="9"/>
        <v/>
      </c>
      <c r="Y24" s="22" t="str">
        <f t="shared" si="10"/>
        <v/>
      </c>
      <c r="Z24" s="22"/>
      <c r="AA24" s="1">
        <v>21</v>
      </c>
      <c r="AB24" s="1">
        <v>1</v>
      </c>
      <c r="AC24" s="1" t="s">
        <v>38</v>
      </c>
      <c r="AD24" s="2">
        <v>44395</v>
      </c>
      <c r="AE24" s="2">
        <v>43781</v>
      </c>
      <c r="AF24" s="36">
        <v>144.19999999999999</v>
      </c>
      <c r="AG24" s="36">
        <v>60.42</v>
      </c>
      <c r="AH24" s="36">
        <v>83.78</v>
      </c>
      <c r="AI24" s="36">
        <v>7.55</v>
      </c>
      <c r="AK24" s="34" t="e">
        <f t="shared" si="21"/>
        <v>#VALUE!</v>
      </c>
      <c r="AL24" s="34" t="e">
        <f t="shared" si="22"/>
        <v>#VALUE!</v>
      </c>
      <c r="AM24" s="34" t="e">
        <f t="shared" si="23"/>
        <v>#VALUE!</v>
      </c>
      <c r="AN24" s="34" t="e">
        <f t="shared" si="24"/>
        <v>#VALUE!</v>
      </c>
    </row>
    <row r="25" spans="2:40" x14ac:dyDescent="0.25">
      <c r="E25" s="25">
        <f t="shared" si="11"/>
        <v>22</v>
      </c>
      <c r="F25" s="26" t="str">
        <f t="shared" si="12"/>
        <v/>
      </c>
      <c r="G25" s="27" t="str">
        <f t="shared" si="13"/>
        <v/>
      </c>
      <c r="H25" s="28" t="str">
        <f t="shared" si="0"/>
        <v/>
      </c>
      <c r="I25" s="3" t="str">
        <f t="shared" si="14"/>
        <v/>
      </c>
      <c r="J25" s="3" t="str">
        <f t="shared" si="1"/>
        <v xml:space="preserve"> </v>
      </c>
      <c r="K25" s="7" t="str">
        <f t="shared" si="15"/>
        <v/>
      </c>
      <c r="L25" s="30" t="str">
        <f t="shared" si="2"/>
        <v/>
      </c>
      <c r="M25" s="29" t="str">
        <f t="shared" si="16"/>
        <v/>
      </c>
      <c r="N25" s="29" t="str">
        <f t="shared" si="17"/>
        <v/>
      </c>
      <c r="O25" s="29" t="str">
        <f t="shared" si="3"/>
        <v/>
      </c>
      <c r="P25" s="29" t="str">
        <f t="shared" si="4"/>
        <v/>
      </c>
      <c r="Q25" s="29" t="str">
        <f t="shared" si="5"/>
        <v/>
      </c>
      <c r="R25" s="23" t="str">
        <f t="shared" si="6"/>
        <v/>
      </c>
      <c r="S25" s="5" t="str">
        <f t="shared" si="18"/>
        <v/>
      </c>
      <c r="T25" s="5" t="str">
        <f t="shared" si="19"/>
        <v/>
      </c>
      <c r="U25" s="5" t="str">
        <f t="shared" si="20"/>
        <v/>
      </c>
      <c r="V25" s="4" t="str">
        <f t="shared" si="7"/>
        <v/>
      </c>
      <c r="W25" s="6" t="str">
        <f t="shared" si="8"/>
        <v/>
      </c>
      <c r="X25" s="22" t="str">
        <f t="shared" si="9"/>
        <v/>
      </c>
      <c r="Y25" s="22" t="str">
        <f t="shared" si="10"/>
        <v/>
      </c>
      <c r="Z25" s="22"/>
      <c r="AA25" s="1">
        <v>22</v>
      </c>
      <c r="AB25" s="1">
        <v>1</v>
      </c>
      <c r="AC25" s="1" t="s">
        <v>38</v>
      </c>
      <c r="AD25" s="2">
        <v>44426</v>
      </c>
      <c r="AE25" s="2">
        <v>43781</v>
      </c>
      <c r="AF25" s="36">
        <v>144.19999999999999</v>
      </c>
      <c r="AG25" s="36">
        <v>59.01</v>
      </c>
      <c r="AH25" s="36">
        <v>85.19</v>
      </c>
      <c r="AI25" s="36">
        <v>7.43</v>
      </c>
      <c r="AK25" s="34" t="e">
        <f t="shared" si="21"/>
        <v>#VALUE!</v>
      </c>
      <c r="AL25" s="34" t="e">
        <f t="shared" si="22"/>
        <v>#VALUE!</v>
      </c>
      <c r="AM25" s="34" t="e">
        <f t="shared" si="23"/>
        <v>#VALUE!</v>
      </c>
      <c r="AN25" s="34" t="e">
        <f t="shared" si="24"/>
        <v>#VALUE!</v>
      </c>
    </row>
    <row r="26" spans="2:40" x14ac:dyDescent="0.25">
      <c r="E26" s="25">
        <f t="shared" si="11"/>
        <v>23</v>
      </c>
      <c r="F26" s="26" t="str">
        <f t="shared" si="12"/>
        <v/>
      </c>
      <c r="G26" s="27" t="str">
        <f t="shared" si="13"/>
        <v/>
      </c>
      <c r="H26" s="28" t="str">
        <f t="shared" si="0"/>
        <v/>
      </c>
      <c r="I26" s="3" t="str">
        <f t="shared" si="14"/>
        <v/>
      </c>
      <c r="J26" s="3" t="str">
        <f t="shared" si="1"/>
        <v xml:space="preserve"> </v>
      </c>
      <c r="K26" s="3" t="str">
        <f t="shared" si="15"/>
        <v/>
      </c>
      <c r="L26" s="30" t="str">
        <f t="shared" si="2"/>
        <v/>
      </c>
      <c r="M26" s="29" t="str">
        <f t="shared" si="16"/>
        <v/>
      </c>
      <c r="N26" s="29" t="str">
        <f t="shared" si="17"/>
        <v/>
      </c>
      <c r="O26" s="29" t="str">
        <f t="shared" si="3"/>
        <v/>
      </c>
      <c r="P26" s="29" t="str">
        <f t="shared" si="4"/>
        <v/>
      </c>
      <c r="Q26" s="29" t="str">
        <f t="shared" si="5"/>
        <v/>
      </c>
      <c r="R26" s="23" t="str">
        <f t="shared" si="6"/>
        <v/>
      </c>
      <c r="S26" s="5" t="str">
        <f t="shared" si="18"/>
        <v/>
      </c>
      <c r="T26" s="5" t="str">
        <f t="shared" si="19"/>
        <v/>
      </c>
      <c r="U26" s="5" t="str">
        <f t="shared" si="20"/>
        <v/>
      </c>
      <c r="V26" s="4" t="str">
        <f t="shared" si="7"/>
        <v/>
      </c>
      <c r="W26" s="6" t="str">
        <f t="shared" si="8"/>
        <v/>
      </c>
      <c r="X26" s="22" t="str">
        <f t="shared" si="9"/>
        <v/>
      </c>
      <c r="Y26" s="22" t="str">
        <f t="shared" si="10"/>
        <v/>
      </c>
      <c r="Z26" s="22"/>
      <c r="AA26" s="1">
        <v>23</v>
      </c>
      <c r="AB26" s="1">
        <v>1</v>
      </c>
      <c r="AC26" s="1" t="s">
        <v>38</v>
      </c>
      <c r="AD26" s="2">
        <v>44457</v>
      </c>
      <c r="AE26" s="2">
        <v>43781</v>
      </c>
      <c r="AF26" s="36">
        <v>144.19999999999999</v>
      </c>
      <c r="AG26" s="36">
        <v>60.37</v>
      </c>
      <c r="AH26" s="36">
        <v>83.83</v>
      </c>
      <c r="AI26" s="36">
        <v>7.31</v>
      </c>
      <c r="AK26" s="34" t="e">
        <f t="shared" si="21"/>
        <v>#VALUE!</v>
      </c>
      <c r="AL26" s="34" t="e">
        <f t="shared" si="22"/>
        <v>#VALUE!</v>
      </c>
      <c r="AM26" s="34" t="e">
        <f t="shared" si="23"/>
        <v>#VALUE!</v>
      </c>
      <c r="AN26" s="34" t="e">
        <f t="shared" si="24"/>
        <v>#VALUE!</v>
      </c>
    </row>
    <row r="27" spans="2:40" x14ac:dyDescent="0.25">
      <c r="E27" s="25">
        <f t="shared" si="11"/>
        <v>24</v>
      </c>
      <c r="F27" s="26" t="str">
        <f t="shared" si="12"/>
        <v/>
      </c>
      <c r="G27" s="27" t="str">
        <f t="shared" si="13"/>
        <v/>
      </c>
      <c r="H27" s="28" t="str">
        <f t="shared" si="0"/>
        <v/>
      </c>
      <c r="I27" s="3" t="str">
        <f t="shared" si="14"/>
        <v/>
      </c>
      <c r="J27" s="7" t="str">
        <f t="shared" si="1"/>
        <v xml:space="preserve"> </v>
      </c>
      <c r="K27" s="3" t="str">
        <f t="shared" si="15"/>
        <v/>
      </c>
      <c r="L27" s="30" t="str">
        <f t="shared" si="2"/>
        <v/>
      </c>
      <c r="M27" s="29" t="str">
        <f t="shared" si="16"/>
        <v/>
      </c>
      <c r="N27" s="29" t="str">
        <f t="shared" si="17"/>
        <v/>
      </c>
      <c r="O27" s="29" t="str">
        <f t="shared" si="3"/>
        <v/>
      </c>
      <c r="P27" s="29" t="str">
        <f t="shared" si="4"/>
        <v/>
      </c>
      <c r="Q27" s="29" t="str">
        <f t="shared" si="5"/>
        <v/>
      </c>
      <c r="R27" s="23" t="str">
        <f t="shared" si="6"/>
        <v/>
      </c>
      <c r="S27" s="5" t="str">
        <f t="shared" si="18"/>
        <v/>
      </c>
      <c r="T27" s="5" t="str">
        <f t="shared" si="19"/>
        <v/>
      </c>
      <c r="U27" s="5" t="str">
        <f t="shared" si="20"/>
        <v/>
      </c>
      <c r="V27" s="4" t="str">
        <f t="shared" si="7"/>
        <v/>
      </c>
      <c r="W27" s="6" t="str">
        <f t="shared" si="8"/>
        <v/>
      </c>
      <c r="X27" s="22" t="str">
        <f t="shared" si="9"/>
        <v/>
      </c>
      <c r="Y27" s="22" t="str">
        <f t="shared" si="10"/>
        <v/>
      </c>
      <c r="Z27" s="22"/>
      <c r="AA27" s="1">
        <v>24</v>
      </c>
      <c r="AB27" s="1">
        <v>1</v>
      </c>
      <c r="AC27" s="1" t="s">
        <v>38</v>
      </c>
      <c r="AD27" s="2">
        <v>44487</v>
      </c>
      <c r="AE27" s="2">
        <v>43781</v>
      </c>
      <c r="AF27" s="36">
        <v>144.19999999999999</v>
      </c>
      <c r="AG27" s="36">
        <v>64.41</v>
      </c>
      <c r="AH27" s="36">
        <v>79.790000000000006</v>
      </c>
      <c r="AI27" s="36">
        <v>7.19</v>
      </c>
      <c r="AK27" s="34" t="e">
        <f t="shared" si="21"/>
        <v>#VALUE!</v>
      </c>
      <c r="AL27" s="34" t="e">
        <f t="shared" si="22"/>
        <v>#VALUE!</v>
      </c>
      <c r="AM27" s="34" t="e">
        <f t="shared" si="23"/>
        <v>#VALUE!</v>
      </c>
      <c r="AN27" s="34" t="e">
        <f t="shared" si="24"/>
        <v>#VALUE!</v>
      </c>
    </row>
    <row r="28" spans="2:40" x14ac:dyDescent="0.25">
      <c r="E28" s="25">
        <f t="shared" si="11"/>
        <v>25</v>
      </c>
      <c r="F28" s="26" t="str">
        <f t="shared" si="12"/>
        <v/>
      </c>
      <c r="G28" s="27" t="str">
        <f t="shared" si="13"/>
        <v/>
      </c>
      <c r="H28" s="28" t="str">
        <f t="shared" si="0"/>
        <v/>
      </c>
      <c r="I28" s="3" t="str">
        <f t="shared" si="14"/>
        <v/>
      </c>
      <c r="J28" s="3" t="str">
        <f t="shared" si="1"/>
        <v xml:space="preserve"> </v>
      </c>
      <c r="K28" s="3" t="str">
        <f t="shared" si="15"/>
        <v/>
      </c>
      <c r="L28" s="30" t="str">
        <f t="shared" si="2"/>
        <v/>
      </c>
      <c r="M28" s="29" t="str">
        <f t="shared" si="16"/>
        <v/>
      </c>
      <c r="N28" s="29" t="str">
        <f t="shared" si="17"/>
        <v/>
      </c>
      <c r="O28" s="29" t="str">
        <f t="shared" si="3"/>
        <v/>
      </c>
      <c r="P28" s="29" t="str">
        <f t="shared" si="4"/>
        <v/>
      </c>
      <c r="Q28" s="29" t="str">
        <f t="shared" si="5"/>
        <v/>
      </c>
      <c r="R28" s="23" t="str">
        <f t="shared" si="6"/>
        <v/>
      </c>
      <c r="S28" s="5" t="str">
        <f t="shared" si="18"/>
        <v/>
      </c>
      <c r="T28" s="5" t="str">
        <f t="shared" si="19"/>
        <v/>
      </c>
      <c r="U28" s="5" t="str">
        <f t="shared" si="20"/>
        <v/>
      </c>
      <c r="V28" s="4" t="str">
        <f t="shared" si="7"/>
        <v/>
      </c>
      <c r="W28" s="6" t="str">
        <f t="shared" si="8"/>
        <v/>
      </c>
      <c r="X28" s="22" t="str">
        <f t="shared" si="9"/>
        <v/>
      </c>
      <c r="Y28" s="22" t="str">
        <f t="shared" si="10"/>
        <v/>
      </c>
      <c r="Z28" s="22"/>
      <c r="AA28" s="1">
        <v>25</v>
      </c>
      <c r="AB28" s="1">
        <v>1</v>
      </c>
      <c r="AC28" s="1" t="s">
        <v>38</v>
      </c>
      <c r="AD28" s="2">
        <v>44518</v>
      </c>
      <c r="AE28" s="2">
        <v>43781</v>
      </c>
      <c r="AF28" s="36">
        <v>144.19999999999999</v>
      </c>
      <c r="AG28" s="36">
        <v>63.23</v>
      </c>
      <c r="AH28" s="36">
        <v>80.97</v>
      </c>
      <c r="AI28" s="36">
        <v>7.06</v>
      </c>
      <c r="AK28" s="34" t="e">
        <f t="shared" si="21"/>
        <v>#VALUE!</v>
      </c>
      <c r="AL28" s="34" t="e">
        <f t="shared" si="22"/>
        <v>#VALUE!</v>
      </c>
      <c r="AM28" s="34" t="e">
        <f t="shared" si="23"/>
        <v>#VALUE!</v>
      </c>
      <c r="AN28" s="34" t="e">
        <f t="shared" si="24"/>
        <v>#VALUE!</v>
      </c>
    </row>
    <row r="29" spans="2:40" x14ac:dyDescent="0.25">
      <c r="E29" s="25">
        <f t="shared" si="11"/>
        <v>26</v>
      </c>
      <c r="F29" s="26" t="str">
        <f t="shared" si="12"/>
        <v/>
      </c>
      <c r="G29" s="27" t="str">
        <f t="shared" si="13"/>
        <v/>
      </c>
      <c r="H29" s="28" t="str">
        <f t="shared" si="0"/>
        <v/>
      </c>
      <c r="I29" s="3" t="str">
        <f t="shared" si="14"/>
        <v/>
      </c>
      <c r="J29" s="3" t="str">
        <f t="shared" si="1"/>
        <v xml:space="preserve"> </v>
      </c>
      <c r="K29" s="3" t="str">
        <f t="shared" si="15"/>
        <v/>
      </c>
      <c r="L29" s="30" t="str">
        <f t="shared" si="2"/>
        <v/>
      </c>
      <c r="M29" s="29" t="str">
        <f t="shared" si="16"/>
        <v/>
      </c>
      <c r="N29" s="29" t="str">
        <f t="shared" si="17"/>
        <v/>
      </c>
      <c r="O29" s="29" t="str">
        <f t="shared" si="3"/>
        <v/>
      </c>
      <c r="P29" s="29" t="str">
        <f t="shared" si="4"/>
        <v/>
      </c>
      <c r="Q29" s="29" t="str">
        <f t="shared" si="5"/>
        <v/>
      </c>
      <c r="R29" s="23" t="str">
        <f t="shared" si="6"/>
        <v/>
      </c>
      <c r="S29" s="5" t="str">
        <f t="shared" si="18"/>
        <v/>
      </c>
      <c r="T29" s="5" t="str">
        <f t="shared" si="19"/>
        <v/>
      </c>
      <c r="U29" s="5" t="str">
        <f t="shared" si="20"/>
        <v/>
      </c>
      <c r="V29" s="4" t="str">
        <f t="shared" si="7"/>
        <v/>
      </c>
      <c r="W29" s="6" t="str">
        <f t="shared" si="8"/>
        <v/>
      </c>
      <c r="X29" s="22" t="str">
        <f t="shared" si="9"/>
        <v/>
      </c>
      <c r="Y29" s="22" t="str">
        <f t="shared" si="10"/>
        <v/>
      </c>
      <c r="Z29" s="22"/>
      <c r="AA29" s="1">
        <v>26</v>
      </c>
      <c r="AB29" s="1">
        <v>1</v>
      </c>
      <c r="AC29" s="1" t="s">
        <v>38</v>
      </c>
      <c r="AD29" s="2">
        <v>44548</v>
      </c>
      <c r="AE29" s="2">
        <v>43781</v>
      </c>
      <c r="AF29" s="36">
        <v>144.19999999999999</v>
      </c>
      <c r="AG29" s="36">
        <v>67.239999999999995</v>
      </c>
      <c r="AH29" s="36">
        <v>76.959999999999994</v>
      </c>
      <c r="AI29" s="36">
        <v>6.93</v>
      </c>
      <c r="AK29" s="34" t="e">
        <f t="shared" si="21"/>
        <v>#VALUE!</v>
      </c>
      <c r="AL29" s="34" t="e">
        <f t="shared" si="22"/>
        <v>#VALUE!</v>
      </c>
      <c r="AM29" s="34" t="e">
        <f t="shared" si="23"/>
        <v>#VALUE!</v>
      </c>
      <c r="AN29" s="34" t="e">
        <f t="shared" si="24"/>
        <v>#VALUE!</v>
      </c>
    </row>
    <row r="30" spans="2:40" x14ac:dyDescent="0.25">
      <c r="E30" s="25">
        <f t="shared" si="11"/>
        <v>27</v>
      </c>
      <c r="F30" s="26" t="str">
        <f t="shared" si="12"/>
        <v/>
      </c>
      <c r="G30" s="27" t="str">
        <f t="shared" si="13"/>
        <v/>
      </c>
      <c r="H30" s="28" t="str">
        <f t="shared" si="0"/>
        <v/>
      </c>
      <c r="I30" s="3" t="str">
        <f t="shared" si="14"/>
        <v/>
      </c>
      <c r="J30" s="3" t="str">
        <f t="shared" si="1"/>
        <v xml:space="preserve"> </v>
      </c>
      <c r="K30" s="3" t="str">
        <f t="shared" si="15"/>
        <v/>
      </c>
      <c r="L30" s="30" t="str">
        <f t="shared" si="2"/>
        <v/>
      </c>
      <c r="M30" s="29" t="str">
        <f t="shared" si="16"/>
        <v/>
      </c>
      <c r="N30" s="29" t="str">
        <f t="shared" si="17"/>
        <v/>
      </c>
      <c r="O30" s="29" t="str">
        <f t="shared" si="3"/>
        <v/>
      </c>
      <c r="P30" s="29" t="str">
        <f t="shared" si="4"/>
        <v/>
      </c>
      <c r="Q30" s="29" t="str">
        <f t="shared" si="5"/>
        <v/>
      </c>
      <c r="R30" s="23" t="str">
        <f t="shared" si="6"/>
        <v/>
      </c>
      <c r="S30" s="5" t="str">
        <f t="shared" si="18"/>
        <v/>
      </c>
      <c r="T30" s="5" t="str">
        <f t="shared" si="19"/>
        <v/>
      </c>
      <c r="U30" s="5" t="str">
        <f t="shared" si="20"/>
        <v/>
      </c>
      <c r="V30" s="4" t="str">
        <f t="shared" si="7"/>
        <v/>
      </c>
      <c r="W30" s="6" t="str">
        <f t="shared" si="8"/>
        <v/>
      </c>
      <c r="X30" s="22" t="str">
        <f t="shared" si="9"/>
        <v/>
      </c>
      <c r="Y30" s="22" t="str">
        <f t="shared" si="10"/>
        <v/>
      </c>
      <c r="Z30" s="22"/>
      <c r="AA30" s="1">
        <v>27</v>
      </c>
      <c r="AB30" s="1">
        <v>1</v>
      </c>
      <c r="AC30" s="1" t="s">
        <v>38</v>
      </c>
      <c r="AD30" s="2">
        <v>44579</v>
      </c>
      <c r="AE30" s="2">
        <v>43781</v>
      </c>
      <c r="AF30" s="36">
        <v>144.19999999999999</v>
      </c>
      <c r="AG30" s="36">
        <v>66.22</v>
      </c>
      <c r="AH30" s="36">
        <v>77.98</v>
      </c>
      <c r="AI30" s="36">
        <v>6.8</v>
      </c>
      <c r="AK30" s="34" t="e">
        <f t="shared" si="21"/>
        <v>#VALUE!</v>
      </c>
      <c r="AL30" s="34" t="e">
        <f t="shared" si="22"/>
        <v>#VALUE!</v>
      </c>
      <c r="AM30" s="34" t="e">
        <f t="shared" si="23"/>
        <v>#VALUE!</v>
      </c>
      <c r="AN30" s="34" t="e">
        <f t="shared" si="24"/>
        <v>#VALUE!</v>
      </c>
    </row>
    <row r="31" spans="2:40" x14ac:dyDescent="0.25">
      <c r="E31" s="25">
        <f t="shared" si="11"/>
        <v>28</v>
      </c>
      <c r="F31" s="26" t="str">
        <f t="shared" si="12"/>
        <v/>
      </c>
      <c r="G31" s="27" t="str">
        <f t="shared" si="13"/>
        <v/>
      </c>
      <c r="H31" s="28" t="str">
        <f t="shared" si="0"/>
        <v/>
      </c>
      <c r="I31" s="3" t="str">
        <f t="shared" si="14"/>
        <v/>
      </c>
      <c r="J31" s="3" t="str">
        <f t="shared" si="1"/>
        <v xml:space="preserve"> </v>
      </c>
      <c r="K31" s="3" t="str">
        <f t="shared" si="15"/>
        <v/>
      </c>
      <c r="L31" s="30" t="str">
        <f t="shared" si="2"/>
        <v/>
      </c>
      <c r="M31" s="29" t="str">
        <f t="shared" si="16"/>
        <v/>
      </c>
      <c r="N31" s="29" t="str">
        <f t="shared" si="17"/>
        <v/>
      </c>
      <c r="O31" s="29" t="str">
        <f t="shared" si="3"/>
        <v/>
      </c>
      <c r="P31" s="29" t="str">
        <f t="shared" si="4"/>
        <v/>
      </c>
      <c r="Q31" s="29" t="str">
        <f t="shared" si="5"/>
        <v/>
      </c>
      <c r="R31" s="23" t="str">
        <f t="shared" si="6"/>
        <v/>
      </c>
      <c r="S31" s="5" t="str">
        <f t="shared" si="18"/>
        <v/>
      </c>
      <c r="T31" s="5" t="str">
        <f t="shared" si="19"/>
        <v/>
      </c>
      <c r="U31" s="5" t="str">
        <f t="shared" si="20"/>
        <v/>
      </c>
      <c r="V31" s="4" t="str">
        <f t="shared" si="7"/>
        <v/>
      </c>
      <c r="W31" s="6" t="str">
        <f t="shared" si="8"/>
        <v/>
      </c>
      <c r="X31" s="22" t="str">
        <f t="shared" si="9"/>
        <v/>
      </c>
      <c r="Y31" s="22" t="str">
        <f t="shared" si="10"/>
        <v/>
      </c>
      <c r="Z31" s="22"/>
      <c r="AA31" s="1">
        <v>28</v>
      </c>
      <c r="AB31" s="1">
        <v>1</v>
      </c>
      <c r="AC31" s="1" t="s">
        <v>38</v>
      </c>
      <c r="AD31" s="2">
        <v>44610</v>
      </c>
      <c r="AE31" s="2">
        <v>43781</v>
      </c>
      <c r="AF31" s="36">
        <v>144.19999999999999</v>
      </c>
      <c r="AG31" s="36">
        <v>67.739999999999995</v>
      </c>
      <c r="AH31" s="36">
        <v>76.459999999999994</v>
      </c>
      <c r="AI31" s="36">
        <v>6.67</v>
      </c>
      <c r="AK31" s="34" t="e">
        <f t="shared" si="21"/>
        <v>#VALUE!</v>
      </c>
      <c r="AL31" s="34" t="e">
        <f t="shared" si="22"/>
        <v>#VALUE!</v>
      </c>
      <c r="AM31" s="34" t="e">
        <f t="shared" si="23"/>
        <v>#VALUE!</v>
      </c>
      <c r="AN31" s="34" t="e">
        <f t="shared" si="24"/>
        <v>#VALUE!</v>
      </c>
    </row>
    <row r="32" spans="2:40" x14ac:dyDescent="0.25">
      <c r="E32" s="25">
        <f t="shared" si="11"/>
        <v>29</v>
      </c>
      <c r="F32" s="26" t="str">
        <f t="shared" si="12"/>
        <v/>
      </c>
      <c r="G32" s="27" t="str">
        <f t="shared" si="13"/>
        <v/>
      </c>
      <c r="H32" s="28" t="str">
        <f t="shared" si="0"/>
        <v/>
      </c>
      <c r="I32" s="3" t="str">
        <f t="shared" si="14"/>
        <v/>
      </c>
      <c r="J32" s="3" t="str">
        <f t="shared" si="1"/>
        <v xml:space="preserve"> </v>
      </c>
      <c r="K32" s="3" t="str">
        <f t="shared" si="15"/>
        <v/>
      </c>
      <c r="L32" s="30" t="str">
        <f t="shared" si="2"/>
        <v/>
      </c>
      <c r="M32" s="29" t="str">
        <f t="shared" si="16"/>
        <v/>
      </c>
      <c r="N32" s="29" t="str">
        <f t="shared" si="17"/>
        <v/>
      </c>
      <c r="O32" s="29" t="str">
        <f t="shared" si="3"/>
        <v/>
      </c>
      <c r="P32" s="29" t="str">
        <f t="shared" si="4"/>
        <v/>
      </c>
      <c r="Q32" s="29" t="str">
        <f t="shared" si="5"/>
        <v/>
      </c>
      <c r="R32" s="23" t="str">
        <f t="shared" si="6"/>
        <v/>
      </c>
      <c r="S32" s="5" t="str">
        <f t="shared" si="18"/>
        <v/>
      </c>
      <c r="T32" s="5" t="str">
        <f t="shared" si="19"/>
        <v/>
      </c>
      <c r="U32" s="5" t="str">
        <f t="shared" si="20"/>
        <v/>
      </c>
      <c r="V32" s="4" t="str">
        <f t="shared" si="7"/>
        <v/>
      </c>
      <c r="W32" s="6" t="str">
        <f t="shared" si="8"/>
        <v/>
      </c>
      <c r="X32" s="22" t="str">
        <f t="shared" si="9"/>
        <v/>
      </c>
      <c r="Y32" s="22" t="str">
        <f t="shared" si="10"/>
        <v/>
      </c>
      <c r="Z32" s="22"/>
      <c r="AA32" s="1">
        <v>29</v>
      </c>
      <c r="AB32" s="1">
        <v>1</v>
      </c>
      <c r="AC32" s="1" t="s">
        <v>38</v>
      </c>
      <c r="AD32" s="2">
        <v>44638</v>
      </c>
      <c r="AE32" s="2">
        <v>43781</v>
      </c>
      <c r="AF32" s="36">
        <v>144.19999999999999</v>
      </c>
      <c r="AG32" s="36">
        <v>76.540000000000006</v>
      </c>
      <c r="AH32" s="36">
        <v>67.66</v>
      </c>
      <c r="AI32" s="36">
        <v>6.53</v>
      </c>
      <c r="AK32" s="34" t="e">
        <f t="shared" si="21"/>
        <v>#VALUE!</v>
      </c>
      <c r="AL32" s="34" t="e">
        <f t="shared" si="22"/>
        <v>#VALUE!</v>
      </c>
      <c r="AM32" s="34" t="e">
        <f t="shared" si="23"/>
        <v>#VALUE!</v>
      </c>
      <c r="AN32" s="34" t="e">
        <f t="shared" si="24"/>
        <v>#VALUE!</v>
      </c>
    </row>
    <row r="33" spans="5:40" x14ac:dyDescent="0.25">
      <c r="E33" s="25">
        <f t="shared" si="11"/>
        <v>30</v>
      </c>
      <c r="F33" s="26" t="str">
        <f t="shared" si="12"/>
        <v/>
      </c>
      <c r="G33" s="27" t="str">
        <f t="shared" si="13"/>
        <v/>
      </c>
      <c r="H33" s="28" t="str">
        <f t="shared" si="0"/>
        <v/>
      </c>
      <c r="I33" s="3" t="str">
        <f t="shared" si="14"/>
        <v/>
      </c>
      <c r="J33" s="3" t="str">
        <f t="shared" si="1"/>
        <v xml:space="preserve"> </v>
      </c>
      <c r="K33" s="3" t="str">
        <f t="shared" si="15"/>
        <v/>
      </c>
      <c r="L33" s="30" t="str">
        <f t="shared" si="2"/>
        <v/>
      </c>
      <c r="M33" s="29" t="str">
        <f t="shared" si="16"/>
        <v/>
      </c>
      <c r="N33" s="29" t="str">
        <f t="shared" si="17"/>
        <v/>
      </c>
      <c r="O33" s="29" t="str">
        <f t="shared" si="3"/>
        <v/>
      </c>
      <c r="P33" s="29" t="str">
        <f t="shared" si="4"/>
        <v/>
      </c>
      <c r="Q33" s="29" t="str">
        <f t="shared" si="5"/>
        <v/>
      </c>
      <c r="R33" s="23" t="str">
        <f t="shared" si="6"/>
        <v/>
      </c>
      <c r="S33" s="5" t="str">
        <f t="shared" si="18"/>
        <v/>
      </c>
      <c r="T33" s="5" t="str">
        <f t="shared" si="19"/>
        <v/>
      </c>
      <c r="U33" s="5" t="str">
        <f t="shared" si="20"/>
        <v/>
      </c>
      <c r="V33" s="4" t="str">
        <f t="shared" si="7"/>
        <v/>
      </c>
      <c r="W33" s="6" t="str">
        <f t="shared" si="8"/>
        <v/>
      </c>
      <c r="X33" s="22" t="str">
        <f t="shared" si="9"/>
        <v/>
      </c>
      <c r="Y33" s="22" t="str">
        <f t="shared" si="10"/>
        <v/>
      </c>
      <c r="Z33" s="22"/>
      <c r="AA33" s="1">
        <v>30</v>
      </c>
      <c r="AB33" s="1">
        <v>1</v>
      </c>
      <c r="AC33" s="1" t="s">
        <v>38</v>
      </c>
      <c r="AD33" s="2">
        <v>44669</v>
      </c>
      <c r="AE33" s="2">
        <v>43781</v>
      </c>
      <c r="AF33" s="36">
        <v>144.19999999999999</v>
      </c>
      <c r="AG33" s="36">
        <v>71.040000000000006</v>
      </c>
      <c r="AH33" s="36">
        <v>73.16</v>
      </c>
      <c r="AI33" s="36">
        <v>6.38</v>
      </c>
      <c r="AK33" s="34" t="e">
        <f t="shared" si="21"/>
        <v>#VALUE!</v>
      </c>
      <c r="AL33" s="34" t="e">
        <f t="shared" si="22"/>
        <v>#VALUE!</v>
      </c>
      <c r="AM33" s="34" t="e">
        <f t="shared" si="23"/>
        <v>#VALUE!</v>
      </c>
      <c r="AN33" s="34" t="e">
        <f t="shared" si="24"/>
        <v>#VALUE!</v>
      </c>
    </row>
    <row r="34" spans="5:40" x14ac:dyDescent="0.25">
      <c r="E34" s="25">
        <f t="shared" si="11"/>
        <v>31</v>
      </c>
      <c r="F34" s="26" t="str">
        <f t="shared" si="12"/>
        <v/>
      </c>
      <c r="G34" s="27" t="str">
        <f t="shared" si="13"/>
        <v/>
      </c>
      <c r="H34" s="28" t="str">
        <f t="shared" si="0"/>
        <v/>
      </c>
      <c r="I34" s="3" t="str">
        <f t="shared" si="14"/>
        <v/>
      </c>
      <c r="J34" s="3" t="str">
        <f t="shared" si="1"/>
        <v xml:space="preserve"> </v>
      </c>
      <c r="K34" s="3" t="str">
        <f t="shared" si="15"/>
        <v/>
      </c>
      <c r="L34" s="30" t="str">
        <f t="shared" si="2"/>
        <v/>
      </c>
      <c r="M34" s="29" t="str">
        <f t="shared" si="16"/>
        <v/>
      </c>
      <c r="N34" s="29" t="str">
        <f t="shared" si="17"/>
        <v/>
      </c>
      <c r="O34" s="29" t="str">
        <f t="shared" si="3"/>
        <v/>
      </c>
      <c r="P34" s="29" t="str">
        <f t="shared" si="4"/>
        <v/>
      </c>
      <c r="Q34" s="29" t="str">
        <f t="shared" si="5"/>
        <v/>
      </c>
      <c r="R34" s="23" t="str">
        <f t="shared" si="6"/>
        <v/>
      </c>
      <c r="S34" s="5" t="str">
        <f t="shared" si="18"/>
        <v/>
      </c>
      <c r="T34" s="5" t="str">
        <f t="shared" si="19"/>
        <v/>
      </c>
      <c r="U34" s="5" t="str">
        <f t="shared" si="20"/>
        <v/>
      </c>
      <c r="V34" s="4" t="str">
        <f t="shared" si="7"/>
        <v/>
      </c>
      <c r="W34" s="6" t="str">
        <f t="shared" si="8"/>
        <v/>
      </c>
      <c r="X34" s="22" t="str">
        <f t="shared" si="9"/>
        <v/>
      </c>
      <c r="Y34" s="22" t="str">
        <f t="shared" si="10"/>
        <v/>
      </c>
      <c r="Z34" s="22"/>
      <c r="AA34" s="1">
        <v>31</v>
      </c>
      <c r="AB34" s="1">
        <v>1</v>
      </c>
      <c r="AC34" s="1" t="s">
        <v>38</v>
      </c>
      <c r="AD34" s="2">
        <v>44699</v>
      </c>
      <c r="AE34" s="2">
        <v>43781</v>
      </c>
      <c r="AF34" s="36">
        <v>144.19999999999999</v>
      </c>
      <c r="AG34" s="36">
        <v>74.98</v>
      </c>
      <c r="AH34" s="36">
        <v>69.22</v>
      </c>
      <c r="AI34" s="36">
        <v>6.24</v>
      </c>
      <c r="AK34" s="34" t="e">
        <f t="shared" si="21"/>
        <v>#VALUE!</v>
      </c>
      <c r="AL34" s="34" t="e">
        <f t="shared" si="22"/>
        <v>#VALUE!</v>
      </c>
      <c r="AM34" s="34" t="e">
        <f t="shared" si="23"/>
        <v>#VALUE!</v>
      </c>
      <c r="AN34" s="34" t="e">
        <f t="shared" si="24"/>
        <v>#VALUE!</v>
      </c>
    </row>
    <row r="35" spans="5:40" x14ac:dyDescent="0.25">
      <c r="E35" s="25">
        <f t="shared" si="11"/>
        <v>32</v>
      </c>
      <c r="F35" s="26" t="str">
        <f t="shared" si="12"/>
        <v/>
      </c>
      <c r="G35" s="27" t="str">
        <f t="shared" si="13"/>
        <v/>
      </c>
      <c r="H35" s="28" t="str">
        <f t="shared" si="0"/>
        <v/>
      </c>
      <c r="I35" s="3" t="str">
        <f t="shared" si="14"/>
        <v/>
      </c>
      <c r="J35" s="3" t="str">
        <f t="shared" si="1"/>
        <v xml:space="preserve"> </v>
      </c>
      <c r="K35" s="3" t="str">
        <f t="shared" si="15"/>
        <v/>
      </c>
      <c r="L35" s="30" t="str">
        <f t="shared" si="2"/>
        <v/>
      </c>
      <c r="M35" s="29" t="str">
        <f t="shared" si="16"/>
        <v/>
      </c>
      <c r="N35" s="29" t="str">
        <f t="shared" si="17"/>
        <v/>
      </c>
      <c r="O35" s="29" t="str">
        <f t="shared" si="3"/>
        <v/>
      </c>
      <c r="P35" s="29" t="str">
        <f t="shared" si="4"/>
        <v/>
      </c>
      <c r="Q35" s="29" t="str">
        <f t="shared" si="5"/>
        <v/>
      </c>
      <c r="R35" s="23" t="str">
        <f t="shared" si="6"/>
        <v/>
      </c>
      <c r="S35" s="5" t="str">
        <f t="shared" si="18"/>
        <v/>
      </c>
      <c r="T35" s="5" t="str">
        <f t="shared" si="19"/>
        <v/>
      </c>
      <c r="U35" s="5" t="str">
        <f t="shared" si="20"/>
        <v/>
      </c>
      <c r="V35" s="4" t="str">
        <f t="shared" si="7"/>
        <v/>
      </c>
      <c r="W35" s="6" t="str">
        <f t="shared" si="8"/>
        <v/>
      </c>
      <c r="X35" s="22" t="str">
        <f t="shared" si="9"/>
        <v/>
      </c>
      <c r="Y35" s="22" t="str">
        <f t="shared" si="10"/>
        <v/>
      </c>
      <c r="Z35" s="22"/>
      <c r="AA35" s="1">
        <v>32</v>
      </c>
      <c r="AB35" s="1">
        <v>1</v>
      </c>
      <c r="AC35" s="1" t="s">
        <v>38</v>
      </c>
      <c r="AD35" s="2">
        <v>44730</v>
      </c>
      <c r="AE35" s="2">
        <v>43781</v>
      </c>
      <c r="AF35" s="36">
        <v>144.19999999999999</v>
      </c>
      <c r="AG35" s="36">
        <v>74.39</v>
      </c>
      <c r="AH35" s="36">
        <v>69.81</v>
      </c>
      <c r="AI35" s="36">
        <v>6.09</v>
      </c>
      <c r="AK35" s="34" t="e">
        <f t="shared" si="21"/>
        <v>#VALUE!</v>
      </c>
      <c r="AL35" s="34" t="e">
        <f t="shared" si="22"/>
        <v>#VALUE!</v>
      </c>
      <c r="AM35" s="34" t="e">
        <f t="shared" si="23"/>
        <v>#VALUE!</v>
      </c>
      <c r="AN35" s="34" t="e">
        <f t="shared" si="24"/>
        <v>#VALUE!</v>
      </c>
    </row>
    <row r="36" spans="5:40" x14ac:dyDescent="0.25">
      <c r="E36" s="25">
        <f t="shared" si="11"/>
        <v>33</v>
      </c>
      <c r="F36" s="26" t="str">
        <f t="shared" si="12"/>
        <v/>
      </c>
      <c r="G36" s="27" t="str">
        <f t="shared" si="13"/>
        <v/>
      </c>
      <c r="H36" s="28" t="str">
        <f t="shared" ref="H36:H69" si="25">IFERROR(IF(E36=" "," ",IF($E36&lt;=$C$16,$G36*$C$14/IF(DAY(DATE(MID(F36,7,4),3,0))=29,366,365),$G36*$C$15/IF(DAY(DATE(MID(F36,7,4),3,0))=29,366,365))),"")</f>
        <v/>
      </c>
      <c r="I36" s="3" t="str">
        <f t="shared" si="14"/>
        <v/>
      </c>
      <c r="J36" s="3" t="str">
        <f t="shared" ref="J36:J67" si="26">IFERROR(IF($C$18=" "," ",1/(1+I36))," ")</f>
        <v xml:space="preserve"> </v>
      </c>
      <c r="K36" s="3" t="str">
        <f t="shared" si="15"/>
        <v/>
      </c>
      <c r="L36" s="30" t="str">
        <f t="shared" ref="L36:L63" si="27">IFERROR(TRUNC(IF($C$18=" "," ",$C$13/K36),2),"")</f>
        <v/>
      </c>
      <c r="M36" s="29" t="str">
        <f t="shared" si="16"/>
        <v/>
      </c>
      <c r="N36" s="29" t="str">
        <f t="shared" si="17"/>
        <v/>
      </c>
      <c r="O36" s="29" t="str">
        <f t="shared" ref="O36:O67" si="28">IFERROR(IF($C$17=E36,M36,TRUNC($C$19-N36,2)),"")</f>
        <v/>
      </c>
      <c r="P36" s="29" t="str">
        <f t="shared" ref="P36:P67" si="29">IF(TRUNC(SUM(N36:O36),2)&lt;=0,"",TRUNC(SUM(N36:O36),2))</f>
        <v/>
      </c>
      <c r="Q36" s="29" t="str">
        <f t="shared" ref="Q36:Q69" si="30">IFERROR(IF($C$12="","",IF(TEXT(MID($C$12,1,2),"")="EX",TRUNC(M36*0.002,2))),"")</f>
        <v/>
      </c>
      <c r="R36" s="23" t="str">
        <f t="shared" ref="R36:R69" si="31">IFERROR(IF(IF(DAY(DATE(MID(F36,7,4),3,0))=29,366,365)=366,"Y","N"),"")</f>
        <v/>
      </c>
      <c r="S36" s="5" t="str">
        <f t="shared" si="18"/>
        <v/>
      </c>
      <c r="T36" s="5" t="str">
        <f t="shared" si="19"/>
        <v/>
      </c>
      <c r="U36" s="5" t="str">
        <f t="shared" si="20"/>
        <v/>
      </c>
      <c r="V36" s="4" t="str">
        <f t="shared" ref="V36:V69" si="32">IFERROR(IF(E36=" "," ",IF($E36&lt;=$C$16,SUM(T36-S36)*$C$14/IF(DAY(DATE(MID(T36,7,4),3,0))=29,366,365),SUM(T36-S36)*$C$15/IF(DAY(DATE(MID(T36,7,4),3,0))=29,366,365))),"")</f>
        <v/>
      </c>
      <c r="W36" s="6" t="str">
        <f t="shared" ref="W36:W69" si="33">IFERROR(IF(E36=" "," ",IF($E36&lt;=$C$16,SUM(U36-T36)*$C$14/IF(DAY(DATE(MID(U36,7,4),3,0))=29,366,365),SUM(U36-T36)*$C$15/IF(DAY(DATE(MID(U36,7,4),3,0))=29,366,365))),"")</f>
        <v/>
      </c>
      <c r="X36" s="22" t="str">
        <f t="shared" ref="X36:X69" si="34">IFERROR(TRUNC(V36*M36,2),"")</f>
        <v/>
      </c>
      <c r="Y36" s="22" t="str">
        <f t="shared" ref="Y36:Y69" si="35">IFERROR(TRUNC(W36*M36,2),"")</f>
        <v/>
      </c>
      <c r="Z36" s="22"/>
      <c r="AA36" s="1">
        <v>33</v>
      </c>
      <c r="AB36" s="1">
        <v>1</v>
      </c>
      <c r="AC36" s="1" t="s">
        <v>38</v>
      </c>
      <c r="AD36" s="2">
        <v>44760</v>
      </c>
      <c r="AE36" s="2">
        <v>43781</v>
      </c>
      <c r="AF36" s="36">
        <v>144.19999999999999</v>
      </c>
      <c r="AG36" s="36">
        <v>78.290000000000006</v>
      </c>
      <c r="AH36" s="36">
        <v>65.91</v>
      </c>
      <c r="AI36" s="36">
        <v>5.94</v>
      </c>
      <c r="AK36" s="34" t="e">
        <f t="shared" si="21"/>
        <v>#VALUE!</v>
      </c>
      <c r="AL36" s="34" t="e">
        <f t="shared" si="22"/>
        <v>#VALUE!</v>
      </c>
      <c r="AM36" s="34" t="e">
        <f t="shared" si="23"/>
        <v>#VALUE!</v>
      </c>
      <c r="AN36" s="34" t="e">
        <f t="shared" si="24"/>
        <v>#VALUE!</v>
      </c>
    </row>
    <row r="37" spans="5:40" x14ac:dyDescent="0.25">
      <c r="E37" s="25">
        <f t="shared" ref="E37:E69" si="36">IFERROR(IF($E36&lt;$C$17,E36+1," "),"")</f>
        <v>34</v>
      </c>
      <c r="F37" s="26" t="str">
        <f t="shared" ref="F37:F68" si="37">IFERROR(TEXT(IF($E37&lt;=$C$17,EDATE($F$4,E37 - 1)," "),"DD/MM/YYYY"),"")</f>
        <v/>
      </c>
      <c r="G37" s="27" t="str">
        <f t="shared" ref="G37:G68" si="38">IFERROR(IF(E37=" "," ",F37-F36),"")</f>
        <v/>
      </c>
      <c r="H37" s="28" t="str">
        <f t="shared" si="25"/>
        <v/>
      </c>
      <c r="I37" s="3" t="str">
        <f t="shared" ref="I37:I68" si="39">IFERROR(IF(E37=" "," ",ROUND(I36+H37+(I36*H37),6)),"")</f>
        <v/>
      </c>
      <c r="J37" s="3" t="str">
        <f t="shared" si="26"/>
        <v xml:space="preserve"> </v>
      </c>
      <c r="K37" s="3" t="str">
        <f t="shared" ref="K37:K68" si="40">IFERROR(IF($C$18=" "," ",K36+J37),"")</f>
        <v/>
      </c>
      <c r="L37" s="30" t="str">
        <f t="shared" si="27"/>
        <v/>
      </c>
      <c r="M37" s="29" t="str">
        <f t="shared" ref="M37:M69" si="41">IFERROR(IF(IF($M36&gt;0,($M36-$O36)," ")&lt;=0,"",IF($M36&gt;0,($M36-$O36)," ")),"")</f>
        <v/>
      </c>
      <c r="N37" s="29" t="str">
        <f t="shared" si="17"/>
        <v/>
      </c>
      <c r="O37" s="29" t="str">
        <f t="shared" si="28"/>
        <v/>
      </c>
      <c r="P37" s="29" t="str">
        <f t="shared" si="29"/>
        <v/>
      </c>
      <c r="Q37" s="29" t="str">
        <f t="shared" si="30"/>
        <v/>
      </c>
      <c r="R37" s="23" t="str">
        <f t="shared" si="31"/>
        <v/>
      </c>
      <c r="S37" s="5" t="str">
        <f t="shared" ref="S37:S68" si="42">TEXT(IF(AND(R36="N",R37="Y"),EDATE($F$4,E37-2),IF(AND(R36="Y",R37="N"),EDATE($F$4,E37-2),"")),"DD/MM/YYYY")</f>
        <v/>
      </c>
      <c r="T37" s="5" t="str">
        <f t="shared" si="19"/>
        <v/>
      </c>
      <c r="U37" s="5" t="str">
        <f t="shared" si="20"/>
        <v/>
      </c>
      <c r="V37" s="4" t="str">
        <f t="shared" si="32"/>
        <v/>
      </c>
      <c r="W37" s="6" t="str">
        <f t="shared" si="33"/>
        <v/>
      </c>
      <c r="X37" s="22" t="str">
        <f t="shared" si="34"/>
        <v/>
      </c>
      <c r="Y37" s="22" t="str">
        <f t="shared" si="35"/>
        <v/>
      </c>
      <c r="Z37" s="22"/>
      <c r="AA37" s="1">
        <v>34</v>
      </c>
      <c r="AB37" s="1">
        <v>1</v>
      </c>
      <c r="AC37" s="1" t="s">
        <v>38</v>
      </c>
      <c r="AD37" s="2">
        <v>44791</v>
      </c>
      <c r="AE37" s="2">
        <v>43781</v>
      </c>
      <c r="AF37" s="36">
        <v>144.19999999999999</v>
      </c>
      <c r="AG37" s="36">
        <v>77.89</v>
      </c>
      <c r="AH37" s="36">
        <v>66.31</v>
      </c>
      <c r="AI37" s="36">
        <v>5.78</v>
      </c>
      <c r="AK37" s="34" t="e">
        <f t="shared" si="21"/>
        <v>#VALUE!</v>
      </c>
      <c r="AL37" s="34" t="e">
        <f t="shared" si="22"/>
        <v>#VALUE!</v>
      </c>
      <c r="AM37" s="34" t="e">
        <f t="shared" si="23"/>
        <v>#VALUE!</v>
      </c>
      <c r="AN37" s="34" t="e">
        <f t="shared" si="24"/>
        <v>#VALUE!</v>
      </c>
    </row>
    <row r="38" spans="5:40" x14ac:dyDescent="0.25">
      <c r="E38" s="25">
        <f t="shared" si="36"/>
        <v>35</v>
      </c>
      <c r="F38" s="26" t="str">
        <f t="shared" si="37"/>
        <v/>
      </c>
      <c r="G38" s="27" t="str">
        <f t="shared" si="38"/>
        <v/>
      </c>
      <c r="H38" s="28" t="str">
        <f t="shared" si="25"/>
        <v/>
      </c>
      <c r="I38" s="3" t="str">
        <f t="shared" si="39"/>
        <v/>
      </c>
      <c r="J38" s="3" t="str">
        <f t="shared" si="26"/>
        <v xml:space="preserve"> </v>
      </c>
      <c r="K38" s="3" t="str">
        <f t="shared" si="40"/>
        <v/>
      </c>
      <c r="L38" s="30" t="str">
        <f t="shared" si="27"/>
        <v/>
      </c>
      <c r="M38" s="29" t="str">
        <f t="shared" si="41"/>
        <v/>
      </c>
      <c r="N38" s="29" t="str">
        <f t="shared" si="17"/>
        <v/>
      </c>
      <c r="O38" s="29" t="str">
        <f t="shared" si="28"/>
        <v/>
      </c>
      <c r="P38" s="29" t="str">
        <f t="shared" si="29"/>
        <v/>
      </c>
      <c r="Q38" s="29" t="str">
        <f t="shared" si="30"/>
        <v/>
      </c>
      <c r="R38" s="23" t="str">
        <f t="shared" si="31"/>
        <v/>
      </c>
      <c r="S38" s="5" t="str">
        <f t="shared" si="42"/>
        <v/>
      </c>
      <c r="T38" s="5" t="str">
        <f t="shared" si="19"/>
        <v/>
      </c>
      <c r="U38" s="5" t="str">
        <f t="shared" si="20"/>
        <v/>
      </c>
      <c r="V38" s="4" t="str">
        <f t="shared" si="32"/>
        <v/>
      </c>
      <c r="W38" s="6" t="str">
        <f t="shared" si="33"/>
        <v/>
      </c>
      <c r="X38" s="22" t="str">
        <f t="shared" si="34"/>
        <v/>
      </c>
      <c r="Y38" s="22" t="str">
        <f t="shared" si="35"/>
        <v/>
      </c>
      <c r="Z38" s="22"/>
      <c r="AA38" s="1">
        <v>35</v>
      </c>
      <c r="AB38" s="1">
        <v>1</v>
      </c>
      <c r="AC38" s="1" t="s">
        <v>38</v>
      </c>
      <c r="AD38" s="2">
        <v>44822</v>
      </c>
      <c r="AE38" s="2">
        <v>43781</v>
      </c>
      <c r="AF38" s="36">
        <v>144.19999999999999</v>
      </c>
      <c r="AG38" s="36">
        <v>79.680000000000007</v>
      </c>
      <c r="AH38" s="36">
        <v>64.52</v>
      </c>
      <c r="AI38" s="36">
        <v>5.62</v>
      </c>
      <c r="AK38" s="34" t="e">
        <f t="shared" si="21"/>
        <v>#VALUE!</v>
      </c>
      <c r="AL38" s="34" t="e">
        <f t="shared" si="22"/>
        <v>#VALUE!</v>
      </c>
      <c r="AM38" s="34" t="e">
        <f t="shared" si="23"/>
        <v>#VALUE!</v>
      </c>
      <c r="AN38" s="34" t="e">
        <f t="shared" si="24"/>
        <v>#VALUE!</v>
      </c>
    </row>
    <row r="39" spans="5:40" x14ac:dyDescent="0.25">
      <c r="E39" s="25">
        <f t="shared" si="36"/>
        <v>36</v>
      </c>
      <c r="F39" s="26" t="str">
        <f t="shared" si="37"/>
        <v/>
      </c>
      <c r="G39" s="27" t="str">
        <f t="shared" si="38"/>
        <v/>
      </c>
      <c r="H39" s="28" t="str">
        <f t="shared" si="25"/>
        <v/>
      </c>
      <c r="I39" s="3" t="str">
        <f t="shared" si="39"/>
        <v/>
      </c>
      <c r="J39" s="3" t="str">
        <f t="shared" si="26"/>
        <v xml:space="preserve"> </v>
      </c>
      <c r="K39" s="3" t="str">
        <f t="shared" si="40"/>
        <v/>
      </c>
      <c r="L39" s="30" t="str">
        <f t="shared" si="27"/>
        <v/>
      </c>
      <c r="M39" s="29" t="str">
        <f t="shared" si="41"/>
        <v/>
      </c>
      <c r="N39" s="29" t="str">
        <f t="shared" si="17"/>
        <v/>
      </c>
      <c r="O39" s="29" t="str">
        <f t="shared" si="28"/>
        <v/>
      </c>
      <c r="P39" s="29" t="str">
        <f t="shared" si="29"/>
        <v/>
      </c>
      <c r="Q39" s="29" t="str">
        <f t="shared" si="30"/>
        <v/>
      </c>
      <c r="R39" s="23" t="str">
        <f t="shared" si="31"/>
        <v/>
      </c>
      <c r="S39" s="5" t="str">
        <f t="shared" si="42"/>
        <v/>
      </c>
      <c r="T39" s="5" t="str">
        <f t="shared" si="19"/>
        <v/>
      </c>
      <c r="U39" s="5" t="str">
        <f t="shared" si="20"/>
        <v/>
      </c>
      <c r="V39" s="4" t="str">
        <f t="shared" si="32"/>
        <v/>
      </c>
      <c r="W39" s="6" t="str">
        <f t="shared" si="33"/>
        <v/>
      </c>
      <c r="X39" s="22" t="str">
        <f t="shared" si="34"/>
        <v/>
      </c>
      <c r="Y39" s="22" t="str">
        <f t="shared" si="35"/>
        <v/>
      </c>
      <c r="Z39" s="22"/>
      <c r="AA39" s="1">
        <v>36</v>
      </c>
      <c r="AB39" s="1">
        <v>1</v>
      </c>
      <c r="AC39" s="1" t="s">
        <v>38</v>
      </c>
      <c r="AD39" s="2">
        <v>44852</v>
      </c>
      <c r="AE39" s="2">
        <v>43781</v>
      </c>
      <c r="AF39" s="36">
        <v>144.19999999999999</v>
      </c>
      <c r="AG39" s="36">
        <v>83.53</v>
      </c>
      <c r="AH39" s="36">
        <v>60.67</v>
      </c>
      <c r="AI39" s="36">
        <v>5.47</v>
      </c>
      <c r="AK39" s="34" t="e">
        <f t="shared" si="21"/>
        <v>#VALUE!</v>
      </c>
      <c r="AL39" s="34" t="e">
        <f t="shared" si="22"/>
        <v>#VALUE!</v>
      </c>
      <c r="AM39" s="34" t="e">
        <f t="shared" si="23"/>
        <v>#VALUE!</v>
      </c>
      <c r="AN39" s="34" t="e">
        <f t="shared" si="24"/>
        <v>#VALUE!</v>
      </c>
    </row>
    <row r="40" spans="5:40" x14ac:dyDescent="0.25">
      <c r="E40" s="25">
        <f t="shared" si="36"/>
        <v>37</v>
      </c>
      <c r="F40" s="26" t="str">
        <f t="shared" si="37"/>
        <v/>
      </c>
      <c r="G40" s="27" t="str">
        <f t="shared" si="38"/>
        <v/>
      </c>
      <c r="H40" s="28" t="str">
        <f t="shared" si="25"/>
        <v/>
      </c>
      <c r="I40" s="3" t="str">
        <f t="shared" si="39"/>
        <v/>
      </c>
      <c r="J40" s="3" t="str">
        <f t="shared" si="26"/>
        <v xml:space="preserve"> </v>
      </c>
      <c r="K40" s="3" t="str">
        <f t="shared" si="40"/>
        <v/>
      </c>
      <c r="L40" s="30" t="str">
        <f t="shared" si="27"/>
        <v/>
      </c>
      <c r="M40" s="29" t="str">
        <f t="shared" si="41"/>
        <v/>
      </c>
      <c r="N40" s="29" t="str">
        <f t="shared" si="17"/>
        <v/>
      </c>
      <c r="O40" s="29" t="str">
        <f t="shared" si="28"/>
        <v/>
      </c>
      <c r="P40" s="29" t="str">
        <f t="shared" si="29"/>
        <v/>
      </c>
      <c r="Q40" s="29" t="str">
        <f t="shared" si="30"/>
        <v/>
      </c>
      <c r="R40" s="23" t="str">
        <f t="shared" si="31"/>
        <v/>
      </c>
      <c r="S40" s="5" t="str">
        <f t="shared" si="42"/>
        <v/>
      </c>
      <c r="T40" s="5" t="str">
        <f t="shared" si="19"/>
        <v/>
      </c>
      <c r="U40" s="5" t="str">
        <f t="shared" si="20"/>
        <v/>
      </c>
      <c r="V40" s="4" t="str">
        <f t="shared" si="32"/>
        <v/>
      </c>
      <c r="W40" s="6" t="str">
        <f t="shared" si="33"/>
        <v/>
      </c>
      <c r="X40" s="22" t="str">
        <f t="shared" si="34"/>
        <v/>
      </c>
      <c r="Y40" s="22" t="str">
        <f t="shared" si="35"/>
        <v/>
      </c>
      <c r="Z40" s="22"/>
      <c r="AA40" s="1">
        <v>37</v>
      </c>
      <c r="AB40" s="1">
        <v>1</v>
      </c>
      <c r="AC40" s="1" t="s">
        <v>38</v>
      </c>
      <c r="AD40" s="2">
        <v>44883</v>
      </c>
      <c r="AE40" s="2">
        <v>43781</v>
      </c>
      <c r="AF40" s="36">
        <v>144.19999999999999</v>
      </c>
      <c r="AG40" s="36">
        <v>83.42</v>
      </c>
      <c r="AH40" s="36">
        <v>60.78</v>
      </c>
      <c r="AI40" s="36">
        <v>5.3</v>
      </c>
      <c r="AK40" s="34" t="e">
        <f t="shared" si="21"/>
        <v>#VALUE!</v>
      </c>
      <c r="AL40" s="34" t="e">
        <f t="shared" si="22"/>
        <v>#VALUE!</v>
      </c>
      <c r="AM40" s="34" t="e">
        <f t="shared" si="23"/>
        <v>#VALUE!</v>
      </c>
      <c r="AN40" s="34" t="e">
        <f t="shared" si="24"/>
        <v>#VALUE!</v>
      </c>
    </row>
    <row r="41" spans="5:40" x14ac:dyDescent="0.25">
      <c r="E41" s="25">
        <f t="shared" si="36"/>
        <v>38</v>
      </c>
      <c r="F41" s="26" t="str">
        <f t="shared" si="37"/>
        <v/>
      </c>
      <c r="G41" s="27" t="str">
        <f t="shared" si="38"/>
        <v/>
      </c>
      <c r="H41" s="28" t="str">
        <f t="shared" si="25"/>
        <v/>
      </c>
      <c r="I41" s="3" t="str">
        <f t="shared" si="39"/>
        <v/>
      </c>
      <c r="J41" s="3" t="str">
        <f t="shared" si="26"/>
        <v xml:space="preserve"> </v>
      </c>
      <c r="K41" s="3" t="str">
        <f t="shared" si="40"/>
        <v/>
      </c>
      <c r="L41" s="30" t="str">
        <f t="shared" si="27"/>
        <v/>
      </c>
      <c r="M41" s="29" t="str">
        <f t="shared" si="41"/>
        <v/>
      </c>
      <c r="N41" s="29" t="str">
        <f t="shared" si="17"/>
        <v/>
      </c>
      <c r="O41" s="29" t="str">
        <f t="shared" si="28"/>
        <v/>
      </c>
      <c r="P41" s="29" t="str">
        <f t="shared" si="29"/>
        <v/>
      </c>
      <c r="Q41" s="29" t="str">
        <f t="shared" si="30"/>
        <v/>
      </c>
      <c r="R41" s="23" t="str">
        <f t="shared" si="31"/>
        <v/>
      </c>
      <c r="S41" s="5" t="str">
        <f t="shared" si="42"/>
        <v/>
      </c>
      <c r="T41" s="5" t="str">
        <f t="shared" si="19"/>
        <v/>
      </c>
      <c r="U41" s="5" t="str">
        <f t="shared" si="20"/>
        <v/>
      </c>
      <c r="V41" s="4" t="str">
        <f t="shared" si="32"/>
        <v/>
      </c>
      <c r="W41" s="6" t="str">
        <f t="shared" si="33"/>
        <v/>
      </c>
      <c r="X41" s="22" t="str">
        <f t="shared" si="34"/>
        <v/>
      </c>
      <c r="Y41" s="22" t="str">
        <f t="shared" si="35"/>
        <v/>
      </c>
      <c r="Z41" s="22"/>
      <c r="AA41" s="1">
        <v>38</v>
      </c>
      <c r="AB41" s="1">
        <v>1</v>
      </c>
      <c r="AC41" s="1" t="s">
        <v>38</v>
      </c>
      <c r="AD41" s="2">
        <v>44913</v>
      </c>
      <c r="AE41" s="2">
        <v>43781</v>
      </c>
      <c r="AF41" s="36">
        <v>144.19999999999999</v>
      </c>
      <c r="AG41" s="36">
        <v>87.23</v>
      </c>
      <c r="AH41" s="36">
        <v>56.97</v>
      </c>
      <c r="AI41" s="36">
        <v>5.13</v>
      </c>
      <c r="AK41" s="34" t="e">
        <f t="shared" si="21"/>
        <v>#VALUE!</v>
      </c>
      <c r="AL41" s="34" t="e">
        <f t="shared" si="22"/>
        <v>#VALUE!</v>
      </c>
      <c r="AM41" s="34" t="e">
        <f t="shared" si="23"/>
        <v>#VALUE!</v>
      </c>
      <c r="AN41" s="34" t="e">
        <f t="shared" si="24"/>
        <v>#VALUE!</v>
      </c>
    </row>
    <row r="42" spans="5:40" x14ac:dyDescent="0.25">
      <c r="E42" s="25">
        <f t="shared" si="36"/>
        <v>39</v>
      </c>
      <c r="F42" s="26" t="str">
        <f t="shared" si="37"/>
        <v/>
      </c>
      <c r="G42" s="27" t="str">
        <f t="shared" si="38"/>
        <v/>
      </c>
      <c r="H42" s="28" t="str">
        <f t="shared" si="25"/>
        <v/>
      </c>
      <c r="I42" s="3" t="str">
        <f t="shared" si="39"/>
        <v/>
      </c>
      <c r="J42" s="3" t="str">
        <f t="shared" si="26"/>
        <v xml:space="preserve"> </v>
      </c>
      <c r="K42" s="3" t="str">
        <f t="shared" si="40"/>
        <v/>
      </c>
      <c r="L42" s="30" t="str">
        <f t="shared" si="27"/>
        <v/>
      </c>
      <c r="M42" s="29" t="str">
        <f t="shared" si="41"/>
        <v/>
      </c>
      <c r="N42" s="29" t="str">
        <f t="shared" si="17"/>
        <v/>
      </c>
      <c r="O42" s="29" t="str">
        <f t="shared" si="28"/>
        <v/>
      </c>
      <c r="P42" s="29" t="str">
        <f t="shared" si="29"/>
        <v/>
      </c>
      <c r="Q42" s="29" t="str">
        <f t="shared" si="30"/>
        <v/>
      </c>
      <c r="R42" s="23" t="str">
        <f t="shared" si="31"/>
        <v/>
      </c>
      <c r="S42" s="5" t="str">
        <f t="shared" si="42"/>
        <v/>
      </c>
      <c r="T42" s="5" t="str">
        <f t="shared" si="19"/>
        <v/>
      </c>
      <c r="U42" s="5" t="str">
        <f t="shared" si="20"/>
        <v/>
      </c>
      <c r="V42" s="4" t="str">
        <f t="shared" si="32"/>
        <v/>
      </c>
      <c r="W42" s="6" t="str">
        <f t="shared" si="33"/>
        <v/>
      </c>
      <c r="X42" s="22" t="str">
        <f t="shared" si="34"/>
        <v/>
      </c>
      <c r="Y42" s="22" t="str">
        <f t="shared" si="35"/>
        <v/>
      </c>
      <c r="Z42" s="22"/>
      <c r="AA42" s="1">
        <v>39</v>
      </c>
      <c r="AB42" s="1">
        <v>1</v>
      </c>
      <c r="AC42" s="1" t="s">
        <v>38</v>
      </c>
      <c r="AD42" s="2">
        <v>44944</v>
      </c>
      <c r="AE42" s="2">
        <v>43781</v>
      </c>
      <c r="AF42" s="36">
        <v>144.19999999999999</v>
      </c>
      <c r="AG42" s="36">
        <v>87.33</v>
      </c>
      <c r="AH42" s="36">
        <v>56.87</v>
      </c>
      <c r="AI42" s="36">
        <v>4.96</v>
      </c>
      <c r="AK42" s="34" t="e">
        <f t="shared" si="21"/>
        <v>#VALUE!</v>
      </c>
      <c r="AL42" s="34" t="e">
        <f t="shared" si="22"/>
        <v>#VALUE!</v>
      </c>
      <c r="AM42" s="34" t="e">
        <f t="shared" si="23"/>
        <v>#VALUE!</v>
      </c>
      <c r="AN42" s="34" t="e">
        <f t="shared" si="24"/>
        <v>#VALUE!</v>
      </c>
    </row>
    <row r="43" spans="5:40" x14ac:dyDescent="0.25">
      <c r="E43" s="25">
        <f t="shared" si="36"/>
        <v>40</v>
      </c>
      <c r="F43" s="26" t="str">
        <f t="shared" si="37"/>
        <v/>
      </c>
      <c r="G43" s="27" t="str">
        <f t="shared" si="38"/>
        <v/>
      </c>
      <c r="H43" s="28" t="str">
        <f t="shared" si="25"/>
        <v/>
      </c>
      <c r="I43" s="3" t="str">
        <f t="shared" si="39"/>
        <v/>
      </c>
      <c r="J43" s="3" t="str">
        <f t="shared" si="26"/>
        <v xml:space="preserve"> </v>
      </c>
      <c r="K43" s="3" t="str">
        <f t="shared" si="40"/>
        <v/>
      </c>
      <c r="L43" s="30" t="str">
        <f t="shared" si="27"/>
        <v/>
      </c>
      <c r="M43" s="29" t="str">
        <f t="shared" si="41"/>
        <v/>
      </c>
      <c r="N43" s="29" t="str">
        <f t="shared" si="17"/>
        <v/>
      </c>
      <c r="O43" s="29" t="str">
        <f t="shared" si="28"/>
        <v/>
      </c>
      <c r="P43" s="29" t="str">
        <f t="shared" si="29"/>
        <v/>
      </c>
      <c r="Q43" s="29" t="str">
        <f t="shared" si="30"/>
        <v/>
      </c>
      <c r="R43" s="23" t="str">
        <f t="shared" si="31"/>
        <v/>
      </c>
      <c r="S43" s="5" t="str">
        <f t="shared" si="42"/>
        <v/>
      </c>
      <c r="T43" s="5" t="str">
        <f t="shared" si="19"/>
        <v/>
      </c>
      <c r="U43" s="5" t="str">
        <f t="shared" si="20"/>
        <v/>
      </c>
      <c r="V43" s="4" t="str">
        <f t="shared" si="32"/>
        <v/>
      </c>
      <c r="W43" s="6" t="str">
        <f t="shared" si="33"/>
        <v/>
      </c>
      <c r="X43" s="22" t="str">
        <f t="shared" si="34"/>
        <v/>
      </c>
      <c r="Y43" s="22" t="str">
        <f t="shared" si="35"/>
        <v/>
      </c>
      <c r="Z43" s="22"/>
      <c r="AA43" s="1">
        <v>40</v>
      </c>
      <c r="AB43" s="1">
        <v>1</v>
      </c>
      <c r="AC43" s="1" t="s">
        <v>38</v>
      </c>
      <c r="AD43" s="2">
        <v>44975</v>
      </c>
      <c r="AE43" s="2">
        <v>43781</v>
      </c>
      <c r="AF43" s="36">
        <v>144.19999999999999</v>
      </c>
      <c r="AG43" s="36">
        <v>89.33</v>
      </c>
      <c r="AH43" s="36">
        <v>54.87</v>
      </c>
      <c r="AI43" s="36">
        <v>4.78</v>
      </c>
      <c r="AK43" s="34" t="e">
        <f t="shared" si="21"/>
        <v>#VALUE!</v>
      </c>
      <c r="AL43" s="34" t="e">
        <f t="shared" si="22"/>
        <v>#VALUE!</v>
      </c>
      <c r="AM43" s="34" t="e">
        <f t="shared" si="23"/>
        <v>#VALUE!</v>
      </c>
      <c r="AN43" s="34" t="e">
        <f t="shared" si="24"/>
        <v>#VALUE!</v>
      </c>
    </row>
    <row r="44" spans="5:40" x14ac:dyDescent="0.25">
      <c r="E44" s="25">
        <f t="shared" si="36"/>
        <v>41</v>
      </c>
      <c r="F44" s="26" t="str">
        <f t="shared" si="37"/>
        <v/>
      </c>
      <c r="G44" s="27" t="str">
        <f t="shared" si="38"/>
        <v/>
      </c>
      <c r="H44" s="28" t="str">
        <f t="shared" si="25"/>
        <v/>
      </c>
      <c r="I44" s="3" t="str">
        <f t="shared" si="39"/>
        <v/>
      </c>
      <c r="J44" s="3" t="str">
        <f t="shared" si="26"/>
        <v xml:space="preserve"> </v>
      </c>
      <c r="K44" s="3" t="str">
        <f t="shared" si="40"/>
        <v/>
      </c>
      <c r="L44" s="30" t="str">
        <f t="shared" si="27"/>
        <v/>
      </c>
      <c r="M44" s="29" t="str">
        <f t="shared" si="41"/>
        <v/>
      </c>
      <c r="N44" s="29" t="str">
        <f t="shared" si="17"/>
        <v/>
      </c>
      <c r="O44" s="29" t="str">
        <f t="shared" si="28"/>
        <v/>
      </c>
      <c r="P44" s="29" t="str">
        <f t="shared" si="29"/>
        <v/>
      </c>
      <c r="Q44" s="29" t="str">
        <f t="shared" si="30"/>
        <v/>
      </c>
      <c r="R44" s="23" t="str">
        <f t="shared" si="31"/>
        <v/>
      </c>
      <c r="S44" s="5" t="str">
        <f t="shared" si="42"/>
        <v/>
      </c>
      <c r="T44" s="5" t="str">
        <f t="shared" si="19"/>
        <v/>
      </c>
      <c r="U44" s="5" t="str">
        <f t="shared" si="20"/>
        <v/>
      </c>
      <c r="V44" s="4" t="str">
        <f t="shared" si="32"/>
        <v/>
      </c>
      <c r="W44" s="6" t="str">
        <f t="shared" si="33"/>
        <v/>
      </c>
      <c r="X44" s="22" t="str">
        <f t="shared" si="34"/>
        <v/>
      </c>
      <c r="Y44" s="22" t="str">
        <f t="shared" si="35"/>
        <v/>
      </c>
      <c r="Z44" s="22"/>
      <c r="AA44" s="1">
        <v>41</v>
      </c>
      <c r="AB44" s="1">
        <v>1</v>
      </c>
      <c r="AC44" s="1" t="s">
        <v>38</v>
      </c>
      <c r="AD44" s="2">
        <v>45003</v>
      </c>
      <c r="AE44" s="2">
        <v>43781</v>
      </c>
      <c r="AF44" s="36">
        <v>144.19999999999999</v>
      </c>
      <c r="AG44" s="36">
        <v>96.49</v>
      </c>
      <c r="AH44" s="36">
        <v>47.71</v>
      </c>
      <c r="AI44" s="36">
        <v>4.5999999999999996</v>
      </c>
      <c r="AK44" s="34" t="e">
        <f t="shared" si="21"/>
        <v>#VALUE!</v>
      </c>
      <c r="AL44" s="34" t="e">
        <f t="shared" si="22"/>
        <v>#VALUE!</v>
      </c>
      <c r="AM44" s="34" t="e">
        <f t="shared" si="23"/>
        <v>#VALUE!</v>
      </c>
      <c r="AN44" s="34" t="e">
        <f t="shared" si="24"/>
        <v>#VALUE!</v>
      </c>
    </row>
    <row r="45" spans="5:40" x14ac:dyDescent="0.25">
      <c r="E45" s="25">
        <f t="shared" si="36"/>
        <v>42</v>
      </c>
      <c r="F45" s="26" t="str">
        <f t="shared" si="37"/>
        <v/>
      </c>
      <c r="G45" s="27" t="str">
        <f t="shared" si="38"/>
        <v/>
      </c>
      <c r="H45" s="28" t="str">
        <f t="shared" si="25"/>
        <v/>
      </c>
      <c r="I45" s="3" t="str">
        <f t="shared" si="39"/>
        <v/>
      </c>
      <c r="J45" s="3" t="str">
        <f t="shared" si="26"/>
        <v xml:space="preserve"> </v>
      </c>
      <c r="K45" s="3" t="str">
        <f t="shared" si="40"/>
        <v/>
      </c>
      <c r="L45" s="30" t="str">
        <f t="shared" si="27"/>
        <v/>
      </c>
      <c r="M45" s="29" t="str">
        <f t="shared" si="41"/>
        <v/>
      </c>
      <c r="N45" s="29" t="str">
        <f t="shared" si="17"/>
        <v/>
      </c>
      <c r="O45" s="29" t="str">
        <f t="shared" si="28"/>
        <v/>
      </c>
      <c r="P45" s="29" t="str">
        <f t="shared" si="29"/>
        <v/>
      </c>
      <c r="Q45" s="29" t="str">
        <f t="shared" si="30"/>
        <v/>
      </c>
      <c r="R45" s="23" t="str">
        <f t="shared" si="31"/>
        <v/>
      </c>
      <c r="S45" s="5" t="str">
        <f t="shared" si="42"/>
        <v/>
      </c>
      <c r="T45" s="5" t="str">
        <f t="shared" si="19"/>
        <v/>
      </c>
      <c r="U45" s="5" t="str">
        <f t="shared" si="20"/>
        <v/>
      </c>
      <c r="V45" s="4" t="str">
        <f t="shared" si="32"/>
        <v/>
      </c>
      <c r="W45" s="6" t="str">
        <f t="shared" si="33"/>
        <v/>
      </c>
      <c r="X45" s="22" t="str">
        <f t="shared" si="34"/>
        <v/>
      </c>
      <c r="Y45" s="22" t="str">
        <f t="shared" si="35"/>
        <v/>
      </c>
      <c r="Z45" s="22"/>
      <c r="AA45" s="1">
        <v>42</v>
      </c>
      <c r="AB45" s="1">
        <v>1</v>
      </c>
      <c r="AC45" s="1" t="s">
        <v>38</v>
      </c>
      <c r="AD45" s="2">
        <v>45034</v>
      </c>
      <c r="AE45" s="2">
        <v>43781</v>
      </c>
      <c r="AF45" s="36">
        <v>144.19999999999999</v>
      </c>
      <c r="AG45" s="36">
        <v>93.59</v>
      </c>
      <c r="AH45" s="36">
        <v>50.61</v>
      </c>
      <c r="AI45" s="36">
        <v>4.41</v>
      </c>
      <c r="AK45" s="34" t="e">
        <f t="shared" si="21"/>
        <v>#VALUE!</v>
      </c>
      <c r="AL45" s="34" t="e">
        <f t="shared" si="22"/>
        <v>#VALUE!</v>
      </c>
      <c r="AM45" s="34" t="e">
        <f t="shared" si="23"/>
        <v>#VALUE!</v>
      </c>
      <c r="AN45" s="34" t="e">
        <f t="shared" si="24"/>
        <v>#VALUE!</v>
      </c>
    </row>
    <row r="46" spans="5:40" x14ac:dyDescent="0.25">
      <c r="E46" s="25">
        <f t="shared" si="36"/>
        <v>43</v>
      </c>
      <c r="F46" s="26" t="str">
        <f t="shared" si="37"/>
        <v/>
      </c>
      <c r="G46" s="27" t="str">
        <f t="shared" si="38"/>
        <v/>
      </c>
      <c r="H46" s="28" t="str">
        <f t="shared" si="25"/>
        <v/>
      </c>
      <c r="I46" s="3" t="str">
        <f t="shared" si="39"/>
        <v/>
      </c>
      <c r="J46" s="3" t="str">
        <f t="shared" si="26"/>
        <v xml:space="preserve"> </v>
      </c>
      <c r="K46" s="3" t="str">
        <f t="shared" si="40"/>
        <v/>
      </c>
      <c r="L46" s="30" t="str">
        <f t="shared" si="27"/>
        <v/>
      </c>
      <c r="M46" s="29" t="str">
        <f t="shared" si="41"/>
        <v/>
      </c>
      <c r="N46" s="29" t="str">
        <f t="shared" si="17"/>
        <v/>
      </c>
      <c r="O46" s="29" t="str">
        <f t="shared" si="28"/>
        <v/>
      </c>
      <c r="P46" s="29" t="str">
        <f t="shared" si="29"/>
        <v/>
      </c>
      <c r="Q46" s="29" t="str">
        <f t="shared" si="30"/>
        <v/>
      </c>
      <c r="R46" s="23" t="str">
        <f t="shared" si="31"/>
        <v/>
      </c>
      <c r="S46" s="5" t="str">
        <f t="shared" si="42"/>
        <v/>
      </c>
      <c r="T46" s="5" t="str">
        <f t="shared" si="19"/>
        <v/>
      </c>
      <c r="U46" s="5" t="str">
        <f t="shared" si="20"/>
        <v/>
      </c>
      <c r="V46" s="4" t="str">
        <f t="shared" si="32"/>
        <v/>
      </c>
      <c r="W46" s="6" t="str">
        <f t="shared" si="33"/>
        <v/>
      </c>
      <c r="X46" s="22" t="str">
        <f t="shared" si="34"/>
        <v/>
      </c>
      <c r="Y46" s="22" t="str">
        <f t="shared" si="35"/>
        <v/>
      </c>
      <c r="Z46" s="22"/>
      <c r="AA46" s="1">
        <v>43</v>
      </c>
      <c r="AB46" s="1">
        <v>1</v>
      </c>
      <c r="AC46" s="1" t="s">
        <v>38</v>
      </c>
      <c r="AD46" s="2">
        <v>45064</v>
      </c>
      <c r="AE46" s="2">
        <v>43781</v>
      </c>
      <c r="AF46" s="36">
        <v>144.19999999999999</v>
      </c>
      <c r="AG46" s="36">
        <v>97.3</v>
      </c>
      <c r="AH46" s="36">
        <v>46.9</v>
      </c>
      <c r="AI46" s="36">
        <v>4.22</v>
      </c>
      <c r="AK46" s="34" t="e">
        <f t="shared" si="21"/>
        <v>#VALUE!</v>
      </c>
      <c r="AL46" s="34" t="e">
        <f t="shared" si="22"/>
        <v>#VALUE!</v>
      </c>
      <c r="AM46" s="34" t="e">
        <f t="shared" si="23"/>
        <v>#VALUE!</v>
      </c>
      <c r="AN46" s="34" t="e">
        <f t="shared" si="24"/>
        <v>#VALUE!</v>
      </c>
    </row>
    <row r="47" spans="5:40" x14ac:dyDescent="0.25">
      <c r="E47" s="25">
        <f t="shared" si="36"/>
        <v>44</v>
      </c>
      <c r="F47" s="26" t="str">
        <f t="shared" si="37"/>
        <v/>
      </c>
      <c r="G47" s="27" t="str">
        <f t="shared" si="38"/>
        <v/>
      </c>
      <c r="H47" s="28" t="str">
        <f t="shared" si="25"/>
        <v/>
      </c>
      <c r="I47" s="3" t="str">
        <f t="shared" si="39"/>
        <v/>
      </c>
      <c r="J47" s="3" t="str">
        <f t="shared" si="26"/>
        <v xml:space="preserve"> </v>
      </c>
      <c r="K47" s="3" t="str">
        <f t="shared" si="40"/>
        <v/>
      </c>
      <c r="L47" s="30" t="str">
        <f t="shared" si="27"/>
        <v/>
      </c>
      <c r="M47" s="29" t="str">
        <f t="shared" si="41"/>
        <v/>
      </c>
      <c r="N47" s="29" t="str">
        <f t="shared" si="17"/>
        <v/>
      </c>
      <c r="O47" s="29" t="str">
        <f t="shared" si="28"/>
        <v/>
      </c>
      <c r="P47" s="29" t="str">
        <f t="shared" si="29"/>
        <v/>
      </c>
      <c r="Q47" s="29" t="str">
        <f t="shared" si="30"/>
        <v/>
      </c>
      <c r="R47" s="23" t="str">
        <f t="shared" si="31"/>
        <v/>
      </c>
      <c r="S47" s="5" t="str">
        <f t="shared" si="42"/>
        <v/>
      </c>
      <c r="T47" s="5" t="str">
        <f t="shared" si="19"/>
        <v/>
      </c>
      <c r="U47" s="5" t="str">
        <f t="shared" si="20"/>
        <v/>
      </c>
      <c r="V47" s="4" t="str">
        <f t="shared" si="32"/>
        <v/>
      </c>
      <c r="W47" s="6" t="str">
        <f t="shared" si="33"/>
        <v/>
      </c>
      <c r="X47" s="22" t="str">
        <f t="shared" si="34"/>
        <v/>
      </c>
      <c r="Y47" s="22" t="str">
        <f t="shared" si="35"/>
        <v/>
      </c>
      <c r="Z47" s="22"/>
      <c r="AA47" s="1">
        <v>44</v>
      </c>
      <c r="AB47" s="1">
        <v>1</v>
      </c>
      <c r="AC47" s="1" t="s">
        <v>38</v>
      </c>
      <c r="AD47" s="2">
        <v>45095</v>
      </c>
      <c r="AE47" s="2">
        <v>43781</v>
      </c>
      <c r="AF47" s="36">
        <v>144.19999999999999</v>
      </c>
      <c r="AG47" s="36">
        <v>97.97</v>
      </c>
      <c r="AH47" s="36">
        <v>46.23</v>
      </c>
      <c r="AI47" s="36">
        <v>4.03</v>
      </c>
      <c r="AK47" s="34" t="e">
        <f t="shared" si="21"/>
        <v>#VALUE!</v>
      </c>
      <c r="AL47" s="34" t="e">
        <f t="shared" si="22"/>
        <v>#VALUE!</v>
      </c>
      <c r="AM47" s="34" t="e">
        <f t="shared" si="23"/>
        <v>#VALUE!</v>
      </c>
      <c r="AN47" s="34" t="e">
        <f t="shared" si="24"/>
        <v>#VALUE!</v>
      </c>
    </row>
    <row r="48" spans="5:40" x14ac:dyDescent="0.25">
      <c r="E48" s="25">
        <f t="shared" si="36"/>
        <v>45</v>
      </c>
      <c r="F48" s="26" t="str">
        <f t="shared" si="37"/>
        <v/>
      </c>
      <c r="G48" s="27" t="str">
        <f t="shared" si="38"/>
        <v/>
      </c>
      <c r="H48" s="28" t="str">
        <f t="shared" si="25"/>
        <v/>
      </c>
      <c r="I48" s="3" t="str">
        <f t="shared" si="39"/>
        <v/>
      </c>
      <c r="J48" s="3" t="str">
        <f t="shared" si="26"/>
        <v xml:space="preserve"> </v>
      </c>
      <c r="K48" s="3" t="str">
        <f t="shared" si="40"/>
        <v/>
      </c>
      <c r="L48" s="30" t="str">
        <f t="shared" si="27"/>
        <v/>
      </c>
      <c r="M48" s="29" t="str">
        <f t="shared" si="41"/>
        <v/>
      </c>
      <c r="N48" s="29" t="str">
        <f t="shared" si="17"/>
        <v/>
      </c>
      <c r="O48" s="29" t="str">
        <f t="shared" si="28"/>
        <v/>
      </c>
      <c r="P48" s="29" t="str">
        <f t="shared" si="29"/>
        <v/>
      </c>
      <c r="Q48" s="29" t="str">
        <f t="shared" si="30"/>
        <v/>
      </c>
      <c r="R48" s="23" t="str">
        <f t="shared" si="31"/>
        <v/>
      </c>
      <c r="S48" s="5" t="str">
        <f t="shared" si="42"/>
        <v/>
      </c>
      <c r="T48" s="5" t="str">
        <f t="shared" si="19"/>
        <v/>
      </c>
      <c r="U48" s="5" t="str">
        <f t="shared" si="20"/>
        <v/>
      </c>
      <c r="V48" s="4" t="str">
        <f t="shared" si="32"/>
        <v/>
      </c>
      <c r="W48" s="6" t="str">
        <f t="shared" si="33"/>
        <v/>
      </c>
      <c r="X48" s="22" t="str">
        <f t="shared" si="34"/>
        <v/>
      </c>
      <c r="Y48" s="22" t="str">
        <f t="shared" si="35"/>
        <v/>
      </c>
      <c r="Z48" s="22"/>
      <c r="AA48" s="1">
        <v>45</v>
      </c>
      <c r="AB48" s="1">
        <v>1</v>
      </c>
      <c r="AC48" s="1" t="s">
        <v>38</v>
      </c>
      <c r="AD48" s="2">
        <v>45125</v>
      </c>
      <c r="AE48" s="2">
        <v>43781</v>
      </c>
      <c r="AF48" s="36">
        <v>144.19999999999999</v>
      </c>
      <c r="AG48" s="36">
        <v>101.63</v>
      </c>
      <c r="AH48" s="36">
        <v>42.57</v>
      </c>
      <c r="AI48" s="36">
        <v>3.83</v>
      </c>
      <c r="AK48" s="34" t="e">
        <f t="shared" si="21"/>
        <v>#VALUE!</v>
      </c>
      <c r="AL48" s="34" t="e">
        <f t="shared" si="22"/>
        <v>#VALUE!</v>
      </c>
      <c r="AM48" s="34" t="e">
        <f t="shared" si="23"/>
        <v>#VALUE!</v>
      </c>
      <c r="AN48" s="34" t="e">
        <f t="shared" si="24"/>
        <v>#VALUE!</v>
      </c>
    </row>
    <row r="49" spans="5:40" x14ac:dyDescent="0.25">
      <c r="E49" s="25">
        <f t="shared" si="36"/>
        <v>46</v>
      </c>
      <c r="F49" s="26" t="str">
        <f t="shared" si="37"/>
        <v/>
      </c>
      <c r="G49" s="27" t="str">
        <f t="shared" si="38"/>
        <v/>
      </c>
      <c r="H49" s="28" t="str">
        <f t="shared" si="25"/>
        <v/>
      </c>
      <c r="I49" s="3" t="str">
        <f t="shared" si="39"/>
        <v/>
      </c>
      <c r="J49" s="3" t="str">
        <f t="shared" si="26"/>
        <v xml:space="preserve"> </v>
      </c>
      <c r="K49" s="3" t="str">
        <f t="shared" si="40"/>
        <v/>
      </c>
      <c r="L49" s="30" t="str">
        <f t="shared" si="27"/>
        <v/>
      </c>
      <c r="M49" s="29" t="str">
        <f t="shared" si="41"/>
        <v/>
      </c>
      <c r="N49" s="29" t="str">
        <f t="shared" si="17"/>
        <v/>
      </c>
      <c r="O49" s="29" t="str">
        <f t="shared" si="28"/>
        <v/>
      </c>
      <c r="P49" s="29" t="str">
        <f t="shared" si="29"/>
        <v/>
      </c>
      <c r="Q49" s="29" t="str">
        <f t="shared" si="30"/>
        <v/>
      </c>
      <c r="R49" s="23" t="str">
        <f t="shared" si="31"/>
        <v/>
      </c>
      <c r="S49" s="5" t="str">
        <f t="shared" si="42"/>
        <v/>
      </c>
      <c r="T49" s="5" t="str">
        <f t="shared" si="19"/>
        <v/>
      </c>
      <c r="U49" s="5" t="str">
        <f t="shared" si="20"/>
        <v/>
      </c>
      <c r="V49" s="4" t="str">
        <f t="shared" si="32"/>
        <v/>
      </c>
      <c r="W49" s="6" t="str">
        <f t="shared" si="33"/>
        <v/>
      </c>
      <c r="X49" s="22" t="str">
        <f t="shared" si="34"/>
        <v/>
      </c>
      <c r="Y49" s="22" t="str">
        <f t="shared" si="35"/>
        <v/>
      </c>
      <c r="Z49" s="22"/>
      <c r="AA49" s="1">
        <v>46</v>
      </c>
      <c r="AB49" s="1">
        <v>1</v>
      </c>
      <c r="AC49" s="1" t="s">
        <v>38</v>
      </c>
      <c r="AD49" s="2">
        <v>45156</v>
      </c>
      <c r="AE49" s="2">
        <v>43781</v>
      </c>
      <c r="AF49" s="36">
        <v>144.19999999999999</v>
      </c>
      <c r="AG49" s="36">
        <v>102.54</v>
      </c>
      <c r="AH49" s="36">
        <v>41.66</v>
      </c>
      <c r="AI49" s="36">
        <v>3.63</v>
      </c>
      <c r="AK49" s="34" t="e">
        <f t="shared" si="21"/>
        <v>#VALUE!</v>
      </c>
      <c r="AL49" s="34" t="e">
        <f t="shared" si="22"/>
        <v>#VALUE!</v>
      </c>
      <c r="AM49" s="34" t="e">
        <f t="shared" si="23"/>
        <v>#VALUE!</v>
      </c>
      <c r="AN49" s="34" t="e">
        <f t="shared" si="24"/>
        <v>#VALUE!</v>
      </c>
    </row>
    <row r="50" spans="5:40" x14ac:dyDescent="0.25">
      <c r="E50" s="25">
        <f t="shared" si="36"/>
        <v>47</v>
      </c>
      <c r="F50" s="26" t="str">
        <f t="shared" si="37"/>
        <v/>
      </c>
      <c r="G50" s="27" t="str">
        <f t="shared" si="38"/>
        <v/>
      </c>
      <c r="H50" s="28" t="str">
        <f t="shared" si="25"/>
        <v/>
      </c>
      <c r="I50" s="3" t="str">
        <f t="shared" si="39"/>
        <v/>
      </c>
      <c r="J50" s="3" t="str">
        <f t="shared" si="26"/>
        <v xml:space="preserve"> </v>
      </c>
      <c r="K50" s="3" t="str">
        <f t="shared" si="40"/>
        <v/>
      </c>
      <c r="L50" s="30" t="str">
        <f t="shared" si="27"/>
        <v/>
      </c>
      <c r="M50" s="29" t="str">
        <f t="shared" si="41"/>
        <v/>
      </c>
      <c r="N50" s="29" t="str">
        <f t="shared" si="17"/>
        <v/>
      </c>
      <c r="O50" s="29" t="str">
        <f t="shared" si="28"/>
        <v/>
      </c>
      <c r="P50" s="29" t="str">
        <f t="shared" si="29"/>
        <v/>
      </c>
      <c r="Q50" s="29" t="str">
        <f t="shared" si="30"/>
        <v/>
      </c>
      <c r="R50" s="23" t="str">
        <f t="shared" si="31"/>
        <v/>
      </c>
      <c r="S50" s="5" t="str">
        <f t="shared" si="42"/>
        <v/>
      </c>
      <c r="T50" s="5" t="str">
        <f t="shared" si="19"/>
        <v/>
      </c>
      <c r="U50" s="5" t="str">
        <f t="shared" si="20"/>
        <v/>
      </c>
      <c r="V50" s="4" t="str">
        <f t="shared" si="32"/>
        <v/>
      </c>
      <c r="W50" s="6" t="str">
        <f t="shared" si="33"/>
        <v/>
      </c>
      <c r="X50" s="22" t="str">
        <f t="shared" si="34"/>
        <v/>
      </c>
      <c r="Y50" s="22" t="str">
        <f t="shared" si="35"/>
        <v/>
      </c>
      <c r="Z50" s="22"/>
      <c r="AA50" s="1">
        <v>47</v>
      </c>
      <c r="AB50" s="1">
        <v>1</v>
      </c>
      <c r="AC50" s="1" t="s">
        <v>38</v>
      </c>
      <c r="AD50" s="2">
        <v>45187</v>
      </c>
      <c r="AE50" s="2">
        <v>43781</v>
      </c>
      <c r="AF50" s="36">
        <v>144.19999999999999</v>
      </c>
      <c r="AG50" s="36">
        <v>104.89</v>
      </c>
      <c r="AH50" s="36">
        <v>39.31</v>
      </c>
      <c r="AI50" s="36">
        <v>3.42</v>
      </c>
      <c r="AK50" s="34" t="e">
        <f t="shared" si="21"/>
        <v>#VALUE!</v>
      </c>
      <c r="AL50" s="34" t="e">
        <f t="shared" si="22"/>
        <v>#VALUE!</v>
      </c>
      <c r="AM50" s="34" t="e">
        <f t="shared" si="23"/>
        <v>#VALUE!</v>
      </c>
      <c r="AN50" s="34" t="e">
        <f t="shared" si="24"/>
        <v>#VALUE!</v>
      </c>
    </row>
    <row r="51" spans="5:40" x14ac:dyDescent="0.25">
      <c r="E51" s="25">
        <f t="shared" si="36"/>
        <v>48</v>
      </c>
      <c r="F51" s="26" t="str">
        <f t="shared" si="37"/>
        <v/>
      </c>
      <c r="G51" s="27" t="str">
        <f t="shared" si="38"/>
        <v/>
      </c>
      <c r="H51" s="28" t="str">
        <f t="shared" si="25"/>
        <v/>
      </c>
      <c r="I51" s="3" t="str">
        <f t="shared" si="39"/>
        <v/>
      </c>
      <c r="J51" s="3" t="str">
        <f t="shared" si="26"/>
        <v xml:space="preserve"> </v>
      </c>
      <c r="K51" s="3" t="str">
        <f t="shared" si="40"/>
        <v/>
      </c>
      <c r="L51" s="30" t="str">
        <f t="shared" si="27"/>
        <v/>
      </c>
      <c r="M51" s="29" t="str">
        <f t="shared" si="41"/>
        <v/>
      </c>
      <c r="N51" s="29" t="str">
        <f t="shared" si="17"/>
        <v/>
      </c>
      <c r="O51" s="29" t="str">
        <f t="shared" si="28"/>
        <v/>
      </c>
      <c r="P51" s="29" t="str">
        <f t="shared" si="29"/>
        <v/>
      </c>
      <c r="Q51" s="29" t="str">
        <f t="shared" si="30"/>
        <v/>
      </c>
      <c r="R51" s="23" t="str">
        <f t="shared" si="31"/>
        <v/>
      </c>
      <c r="S51" s="5" t="str">
        <f t="shared" si="42"/>
        <v/>
      </c>
      <c r="T51" s="5" t="str">
        <f t="shared" si="19"/>
        <v/>
      </c>
      <c r="U51" s="5" t="str">
        <f t="shared" si="20"/>
        <v/>
      </c>
      <c r="V51" s="4" t="str">
        <f t="shared" si="32"/>
        <v/>
      </c>
      <c r="W51" s="6" t="str">
        <f t="shared" si="33"/>
        <v/>
      </c>
      <c r="X51" s="22" t="str">
        <f t="shared" si="34"/>
        <v/>
      </c>
      <c r="Y51" s="22" t="str">
        <f t="shared" si="35"/>
        <v/>
      </c>
      <c r="Z51" s="22"/>
      <c r="AA51" s="1">
        <v>48</v>
      </c>
      <c r="AB51" s="1">
        <v>1</v>
      </c>
      <c r="AC51" s="1" t="s">
        <v>38</v>
      </c>
      <c r="AD51" s="2">
        <v>45217</v>
      </c>
      <c r="AE51" s="2">
        <v>43781</v>
      </c>
      <c r="AF51" s="36">
        <v>144.19999999999999</v>
      </c>
      <c r="AG51" s="36">
        <v>108.49</v>
      </c>
      <c r="AH51" s="36">
        <v>35.71</v>
      </c>
      <c r="AI51" s="36">
        <v>3.22</v>
      </c>
      <c r="AK51" s="34" t="e">
        <f t="shared" si="21"/>
        <v>#VALUE!</v>
      </c>
      <c r="AL51" s="34" t="e">
        <f t="shared" si="22"/>
        <v>#VALUE!</v>
      </c>
      <c r="AM51" s="34" t="e">
        <f t="shared" si="23"/>
        <v>#VALUE!</v>
      </c>
      <c r="AN51" s="34" t="e">
        <f t="shared" si="24"/>
        <v>#VALUE!</v>
      </c>
    </row>
    <row r="52" spans="5:40" x14ac:dyDescent="0.25">
      <c r="E52" s="25">
        <f t="shared" si="36"/>
        <v>49</v>
      </c>
      <c r="F52" s="26" t="str">
        <f t="shared" si="37"/>
        <v/>
      </c>
      <c r="G52" s="27" t="str">
        <f t="shared" si="38"/>
        <v/>
      </c>
      <c r="H52" s="28" t="str">
        <f t="shared" si="25"/>
        <v/>
      </c>
      <c r="I52" s="3" t="str">
        <f t="shared" si="39"/>
        <v/>
      </c>
      <c r="J52" s="3" t="str">
        <f t="shared" si="26"/>
        <v xml:space="preserve"> </v>
      </c>
      <c r="K52" s="3" t="str">
        <f t="shared" si="40"/>
        <v/>
      </c>
      <c r="L52" s="30" t="str">
        <f t="shared" si="27"/>
        <v/>
      </c>
      <c r="M52" s="29" t="str">
        <f t="shared" si="41"/>
        <v/>
      </c>
      <c r="N52" s="29" t="str">
        <f t="shared" si="17"/>
        <v/>
      </c>
      <c r="O52" s="29" t="str">
        <f t="shared" si="28"/>
        <v/>
      </c>
      <c r="P52" s="29" t="str">
        <f t="shared" si="29"/>
        <v/>
      </c>
      <c r="Q52" s="29" t="str">
        <f t="shared" si="30"/>
        <v/>
      </c>
      <c r="R52" s="23" t="str">
        <f t="shared" si="31"/>
        <v/>
      </c>
      <c r="S52" s="5" t="str">
        <f t="shared" si="42"/>
        <v/>
      </c>
      <c r="T52" s="5" t="str">
        <f t="shared" si="19"/>
        <v/>
      </c>
      <c r="U52" s="5" t="str">
        <f t="shared" si="20"/>
        <v/>
      </c>
      <c r="V52" s="4" t="str">
        <f t="shared" si="32"/>
        <v/>
      </c>
      <c r="W52" s="6" t="str">
        <f t="shared" si="33"/>
        <v/>
      </c>
      <c r="X52" s="22" t="str">
        <f t="shared" si="34"/>
        <v/>
      </c>
      <c r="Y52" s="22" t="str">
        <f t="shared" si="35"/>
        <v/>
      </c>
      <c r="Z52" s="22"/>
      <c r="AA52" s="1">
        <v>49</v>
      </c>
      <c r="AB52" s="1">
        <v>1</v>
      </c>
      <c r="AC52" s="1" t="s">
        <v>38</v>
      </c>
      <c r="AD52" s="2">
        <v>45248</v>
      </c>
      <c r="AE52" s="2">
        <v>43781</v>
      </c>
      <c r="AF52" s="36">
        <v>144.19999999999999</v>
      </c>
      <c r="AG52" s="36">
        <v>109.78</v>
      </c>
      <c r="AH52" s="36">
        <v>34.42</v>
      </c>
      <c r="AI52" s="36">
        <v>3</v>
      </c>
      <c r="AK52" s="34" t="e">
        <f t="shared" si="21"/>
        <v>#VALUE!</v>
      </c>
      <c r="AL52" s="34" t="e">
        <f t="shared" si="22"/>
        <v>#VALUE!</v>
      </c>
      <c r="AM52" s="34" t="e">
        <f t="shared" si="23"/>
        <v>#VALUE!</v>
      </c>
      <c r="AN52" s="34" t="e">
        <f t="shared" si="24"/>
        <v>#VALUE!</v>
      </c>
    </row>
    <row r="53" spans="5:40" x14ac:dyDescent="0.25">
      <c r="E53" s="25">
        <f t="shared" si="36"/>
        <v>50</v>
      </c>
      <c r="F53" s="26" t="str">
        <f t="shared" si="37"/>
        <v/>
      </c>
      <c r="G53" s="27" t="str">
        <f t="shared" si="38"/>
        <v/>
      </c>
      <c r="H53" s="28" t="str">
        <f t="shared" si="25"/>
        <v/>
      </c>
      <c r="I53" s="3" t="str">
        <f t="shared" si="39"/>
        <v/>
      </c>
      <c r="J53" s="3" t="str">
        <f t="shared" si="26"/>
        <v xml:space="preserve"> </v>
      </c>
      <c r="K53" s="3" t="str">
        <f t="shared" si="40"/>
        <v/>
      </c>
      <c r="L53" s="30" t="str">
        <f t="shared" si="27"/>
        <v/>
      </c>
      <c r="M53" s="29" t="str">
        <f t="shared" si="41"/>
        <v/>
      </c>
      <c r="N53" s="29" t="str">
        <f t="shared" si="17"/>
        <v/>
      </c>
      <c r="O53" s="29" t="str">
        <f t="shared" si="28"/>
        <v/>
      </c>
      <c r="P53" s="29" t="str">
        <f t="shared" si="29"/>
        <v/>
      </c>
      <c r="Q53" s="29" t="str">
        <f t="shared" si="30"/>
        <v/>
      </c>
      <c r="R53" s="23" t="str">
        <f t="shared" si="31"/>
        <v/>
      </c>
      <c r="S53" s="5" t="str">
        <f t="shared" si="42"/>
        <v/>
      </c>
      <c r="T53" s="5" t="str">
        <f t="shared" si="19"/>
        <v/>
      </c>
      <c r="U53" s="5" t="str">
        <f t="shared" si="20"/>
        <v/>
      </c>
      <c r="V53" s="4" t="str">
        <f t="shared" si="32"/>
        <v/>
      </c>
      <c r="W53" s="6" t="str">
        <f t="shared" si="33"/>
        <v/>
      </c>
      <c r="X53" s="22" t="str">
        <f t="shared" si="34"/>
        <v/>
      </c>
      <c r="Y53" s="22" t="str">
        <f t="shared" si="35"/>
        <v/>
      </c>
      <c r="Z53" s="22"/>
      <c r="AA53" s="1">
        <v>50</v>
      </c>
      <c r="AB53" s="1">
        <v>1</v>
      </c>
      <c r="AC53" s="1" t="s">
        <v>38</v>
      </c>
      <c r="AD53" s="2">
        <v>45278</v>
      </c>
      <c r="AE53" s="2">
        <v>43781</v>
      </c>
      <c r="AF53" s="36">
        <v>144.19999999999999</v>
      </c>
      <c r="AG53" s="36">
        <v>113.33</v>
      </c>
      <c r="AH53" s="36">
        <v>30.87</v>
      </c>
      <c r="AI53" s="36">
        <v>2.78</v>
      </c>
      <c r="AK53" s="34" t="e">
        <f t="shared" si="21"/>
        <v>#VALUE!</v>
      </c>
      <c r="AL53" s="34" t="e">
        <f t="shared" si="22"/>
        <v>#VALUE!</v>
      </c>
      <c r="AM53" s="34" t="e">
        <f t="shared" si="23"/>
        <v>#VALUE!</v>
      </c>
      <c r="AN53" s="34" t="e">
        <f t="shared" si="24"/>
        <v>#VALUE!</v>
      </c>
    </row>
    <row r="54" spans="5:40" x14ac:dyDescent="0.25">
      <c r="E54" s="25">
        <f t="shared" si="36"/>
        <v>51</v>
      </c>
      <c r="F54" s="26" t="str">
        <f t="shared" si="37"/>
        <v/>
      </c>
      <c r="G54" s="27" t="str">
        <f t="shared" si="38"/>
        <v/>
      </c>
      <c r="H54" s="28" t="str">
        <f t="shared" si="25"/>
        <v/>
      </c>
      <c r="I54" s="3" t="str">
        <f t="shared" si="39"/>
        <v/>
      </c>
      <c r="J54" s="3" t="str">
        <f t="shared" si="26"/>
        <v xml:space="preserve"> </v>
      </c>
      <c r="K54" s="3" t="str">
        <f t="shared" si="40"/>
        <v/>
      </c>
      <c r="L54" s="30" t="str">
        <f t="shared" si="27"/>
        <v/>
      </c>
      <c r="M54" s="29" t="str">
        <f t="shared" si="41"/>
        <v/>
      </c>
      <c r="N54" s="29" t="str">
        <f t="shared" si="17"/>
        <v/>
      </c>
      <c r="O54" s="29" t="str">
        <f t="shared" si="28"/>
        <v/>
      </c>
      <c r="P54" s="29" t="str">
        <f t="shared" si="29"/>
        <v/>
      </c>
      <c r="Q54" s="29" t="str">
        <f t="shared" si="30"/>
        <v/>
      </c>
      <c r="R54" s="23" t="str">
        <f t="shared" si="31"/>
        <v/>
      </c>
      <c r="S54" s="5" t="str">
        <f t="shared" si="42"/>
        <v/>
      </c>
      <c r="T54" s="5" t="str">
        <f t="shared" si="19"/>
        <v/>
      </c>
      <c r="U54" s="5" t="str">
        <f t="shared" si="20"/>
        <v/>
      </c>
      <c r="V54" s="4" t="str">
        <f t="shared" si="32"/>
        <v/>
      </c>
      <c r="W54" s="6" t="str">
        <f t="shared" si="33"/>
        <v/>
      </c>
      <c r="X54" s="22" t="str">
        <f t="shared" si="34"/>
        <v/>
      </c>
      <c r="Y54" s="22" t="str">
        <f t="shared" si="35"/>
        <v/>
      </c>
      <c r="Z54" s="22"/>
      <c r="AA54" s="1">
        <v>51</v>
      </c>
      <c r="AB54" s="1">
        <v>1</v>
      </c>
      <c r="AC54" s="1" t="s">
        <v>38</v>
      </c>
      <c r="AD54" s="2">
        <v>45309</v>
      </c>
      <c r="AE54" s="2">
        <v>43781</v>
      </c>
      <c r="AF54" s="36">
        <v>144.19999999999999</v>
      </c>
      <c r="AG54" s="36">
        <v>114.95</v>
      </c>
      <c r="AH54" s="36">
        <v>29.25</v>
      </c>
      <c r="AI54" s="36">
        <v>2.5499999999999998</v>
      </c>
      <c r="AK54" s="34" t="e">
        <f t="shared" si="21"/>
        <v>#VALUE!</v>
      </c>
      <c r="AL54" s="34" t="e">
        <f t="shared" si="22"/>
        <v>#VALUE!</v>
      </c>
      <c r="AM54" s="34" t="e">
        <f t="shared" si="23"/>
        <v>#VALUE!</v>
      </c>
      <c r="AN54" s="34" t="e">
        <f t="shared" si="24"/>
        <v>#VALUE!</v>
      </c>
    </row>
    <row r="55" spans="5:40" x14ac:dyDescent="0.25">
      <c r="E55" s="25">
        <f t="shared" si="36"/>
        <v>52</v>
      </c>
      <c r="F55" s="26" t="str">
        <f t="shared" si="37"/>
        <v/>
      </c>
      <c r="G55" s="27" t="str">
        <f t="shared" si="38"/>
        <v/>
      </c>
      <c r="H55" s="28" t="str">
        <f t="shared" si="25"/>
        <v/>
      </c>
      <c r="I55" s="3" t="str">
        <f t="shared" si="39"/>
        <v/>
      </c>
      <c r="J55" s="3" t="str">
        <f t="shared" si="26"/>
        <v xml:space="preserve"> </v>
      </c>
      <c r="K55" s="3" t="str">
        <f t="shared" si="40"/>
        <v/>
      </c>
      <c r="L55" s="30" t="str">
        <f t="shared" si="27"/>
        <v/>
      </c>
      <c r="M55" s="29" t="str">
        <f t="shared" si="41"/>
        <v/>
      </c>
      <c r="N55" s="29" t="str">
        <f t="shared" si="17"/>
        <v/>
      </c>
      <c r="O55" s="29" t="str">
        <f t="shared" si="28"/>
        <v/>
      </c>
      <c r="P55" s="29" t="str">
        <f t="shared" si="29"/>
        <v/>
      </c>
      <c r="Q55" s="29" t="str">
        <f t="shared" si="30"/>
        <v/>
      </c>
      <c r="R55" s="23" t="str">
        <f t="shared" si="31"/>
        <v/>
      </c>
      <c r="S55" s="5" t="str">
        <f t="shared" si="42"/>
        <v/>
      </c>
      <c r="T55" s="5" t="str">
        <f t="shared" si="19"/>
        <v/>
      </c>
      <c r="U55" s="5" t="str">
        <f t="shared" si="20"/>
        <v/>
      </c>
      <c r="V55" s="4" t="str">
        <f t="shared" si="32"/>
        <v/>
      </c>
      <c r="W55" s="6" t="str">
        <f t="shared" si="33"/>
        <v/>
      </c>
      <c r="X55" s="22" t="str">
        <f t="shared" si="34"/>
        <v/>
      </c>
      <c r="Y55" s="22" t="str">
        <f t="shared" si="35"/>
        <v/>
      </c>
      <c r="Z55" s="22"/>
      <c r="AA55" s="1">
        <v>52</v>
      </c>
      <c r="AB55" s="1">
        <v>1</v>
      </c>
      <c r="AC55" s="1" t="s">
        <v>38</v>
      </c>
      <c r="AD55" s="2">
        <v>45340</v>
      </c>
      <c r="AE55" s="2">
        <v>43781</v>
      </c>
      <c r="AF55" s="36">
        <v>144.19999999999999</v>
      </c>
      <c r="AG55" s="36">
        <v>117.61</v>
      </c>
      <c r="AH55" s="36">
        <v>26.59</v>
      </c>
      <c r="AI55" s="36">
        <v>2.3199999999999998</v>
      </c>
      <c r="AK55" s="34" t="e">
        <f t="shared" si="21"/>
        <v>#VALUE!</v>
      </c>
      <c r="AL55" s="34" t="e">
        <f t="shared" si="22"/>
        <v>#VALUE!</v>
      </c>
      <c r="AM55" s="34" t="e">
        <f t="shared" si="23"/>
        <v>#VALUE!</v>
      </c>
      <c r="AN55" s="34" t="e">
        <f t="shared" si="24"/>
        <v>#VALUE!</v>
      </c>
    </row>
    <row r="56" spans="5:40" x14ac:dyDescent="0.25">
      <c r="E56" s="25">
        <f t="shared" si="36"/>
        <v>53</v>
      </c>
      <c r="F56" s="26" t="str">
        <f t="shared" si="37"/>
        <v/>
      </c>
      <c r="G56" s="27" t="str">
        <f t="shared" si="38"/>
        <v/>
      </c>
      <c r="H56" s="28" t="str">
        <f t="shared" si="25"/>
        <v/>
      </c>
      <c r="I56" s="3" t="str">
        <f t="shared" si="39"/>
        <v/>
      </c>
      <c r="J56" s="3" t="str">
        <f t="shared" si="26"/>
        <v xml:space="preserve"> </v>
      </c>
      <c r="K56" s="3" t="str">
        <f t="shared" si="40"/>
        <v/>
      </c>
      <c r="L56" s="30" t="str">
        <f t="shared" si="27"/>
        <v/>
      </c>
      <c r="M56" s="29" t="str">
        <f t="shared" si="41"/>
        <v/>
      </c>
      <c r="N56" s="29" t="str">
        <f t="shared" si="17"/>
        <v/>
      </c>
      <c r="O56" s="29" t="str">
        <f t="shared" si="28"/>
        <v/>
      </c>
      <c r="P56" s="29" t="str">
        <f t="shared" si="29"/>
        <v/>
      </c>
      <c r="Q56" s="29" t="str">
        <f t="shared" si="30"/>
        <v/>
      </c>
      <c r="R56" s="23" t="str">
        <f t="shared" si="31"/>
        <v/>
      </c>
      <c r="S56" s="5" t="str">
        <f t="shared" si="42"/>
        <v/>
      </c>
      <c r="T56" s="5" t="str">
        <f t="shared" si="19"/>
        <v/>
      </c>
      <c r="U56" s="5" t="str">
        <f t="shared" si="20"/>
        <v/>
      </c>
      <c r="V56" s="4" t="str">
        <f t="shared" si="32"/>
        <v/>
      </c>
      <c r="W56" s="6" t="str">
        <f t="shared" si="33"/>
        <v/>
      </c>
      <c r="X56" s="22" t="str">
        <f t="shared" si="34"/>
        <v/>
      </c>
      <c r="Y56" s="22" t="str">
        <f t="shared" si="35"/>
        <v/>
      </c>
      <c r="Z56" s="22"/>
      <c r="AA56" s="1">
        <v>53</v>
      </c>
      <c r="AB56" s="1">
        <v>1</v>
      </c>
      <c r="AC56" s="1" t="s">
        <v>38</v>
      </c>
      <c r="AD56" s="2">
        <v>45369</v>
      </c>
      <c r="AE56" s="2">
        <v>43781</v>
      </c>
      <c r="AF56" s="36">
        <v>144.19999999999999</v>
      </c>
      <c r="AG56" s="36">
        <v>121.84</v>
      </c>
      <c r="AH56" s="36">
        <v>22.36</v>
      </c>
      <c r="AI56" s="36">
        <v>2.09</v>
      </c>
      <c r="AK56" s="34" t="e">
        <f t="shared" si="21"/>
        <v>#VALUE!</v>
      </c>
      <c r="AL56" s="34" t="e">
        <f t="shared" si="22"/>
        <v>#VALUE!</v>
      </c>
      <c r="AM56" s="34" t="e">
        <f t="shared" si="23"/>
        <v>#VALUE!</v>
      </c>
      <c r="AN56" s="34" t="e">
        <f t="shared" si="24"/>
        <v>#VALUE!</v>
      </c>
    </row>
    <row r="57" spans="5:40" x14ac:dyDescent="0.25">
      <c r="E57" s="25">
        <f t="shared" si="36"/>
        <v>54</v>
      </c>
      <c r="F57" s="26" t="str">
        <f t="shared" si="37"/>
        <v/>
      </c>
      <c r="G57" s="27" t="str">
        <f t="shared" si="38"/>
        <v/>
      </c>
      <c r="H57" s="28" t="str">
        <f t="shared" si="25"/>
        <v/>
      </c>
      <c r="I57" s="3" t="str">
        <f t="shared" si="39"/>
        <v/>
      </c>
      <c r="J57" s="3" t="str">
        <f t="shared" si="26"/>
        <v xml:space="preserve"> </v>
      </c>
      <c r="K57" s="3" t="str">
        <f t="shared" si="40"/>
        <v/>
      </c>
      <c r="L57" s="30" t="str">
        <f t="shared" si="27"/>
        <v/>
      </c>
      <c r="M57" s="29" t="str">
        <f t="shared" si="41"/>
        <v/>
      </c>
      <c r="N57" s="29" t="str">
        <f t="shared" si="17"/>
        <v/>
      </c>
      <c r="O57" s="29" t="str">
        <f t="shared" si="28"/>
        <v/>
      </c>
      <c r="P57" s="29" t="str">
        <f t="shared" si="29"/>
        <v/>
      </c>
      <c r="Q57" s="29" t="str">
        <f t="shared" si="30"/>
        <v/>
      </c>
      <c r="R57" s="23" t="str">
        <f t="shared" si="31"/>
        <v/>
      </c>
      <c r="S57" s="5" t="str">
        <f t="shared" si="42"/>
        <v/>
      </c>
      <c r="T57" s="5" t="str">
        <f t="shared" si="19"/>
        <v/>
      </c>
      <c r="U57" s="5" t="str">
        <f t="shared" si="20"/>
        <v/>
      </c>
      <c r="V57" s="4" t="str">
        <f t="shared" si="32"/>
        <v/>
      </c>
      <c r="W57" s="6" t="str">
        <f t="shared" si="33"/>
        <v/>
      </c>
      <c r="X57" s="22" t="str">
        <f t="shared" si="34"/>
        <v/>
      </c>
      <c r="Y57" s="22" t="str">
        <f t="shared" si="35"/>
        <v/>
      </c>
      <c r="Z57" s="22"/>
      <c r="AA57" s="1">
        <v>54</v>
      </c>
      <c r="AB57" s="1">
        <v>1</v>
      </c>
      <c r="AC57" s="1" t="s">
        <v>38</v>
      </c>
      <c r="AD57" s="2">
        <v>45400</v>
      </c>
      <c r="AE57" s="2">
        <v>43781</v>
      </c>
      <c r="AF57" s="36">
        <v>144.19999999999999</v>
      </c>
      <c r="AG57" s="36">
        <v>123.08</v>
      </c>
      <c r="AH57" s="36">
        <v>21.12</v>
      </c>
      <c r="AI57" s="36">
        <v>1.84</v>
      </c>
      <c r="AK57" s="34" t="e">
        <f t="shared" si="21"/>
        <v>#VALUE!</v>
      </c>
      <c r="AL57" s="34" t="e">
        <f t="shared" si="22"/>
        <v>#VALUE!</v>
      </c>
      <c r="AM57" s="34" t="e">
        <f t="shared" si="23"/>
        <v>#VALUE!</v>
      </c>
      <c r="AN57" s="34" t="e">
        <f t="shared" si="24"/>
        <v>#VALUE!</v>
      </c>
    </row>
    <row r="58" spans="5:40" x14ac:dyDescent="0.25">
      <c r="E58" s="25">
        <f t="shared" si="36"/>
        <v>55</v>
      </c>
      <c r="F58" s="26" t="str">
        <f t="shared" si="37"/>
        <v/>
      </c>
      <c r="G58" s="27" t="str">
        <f t="shared" si="38"/>
        <v/>
      </c>
      <c r="H58" s="28" t="str">
        <f t="shared" si="25"/>
        <v/>
      </c>
      <c r="I58" s="3" t="str">
        <f t="shared" si="39"/>
        <v/>
      </c>
      <c r="J58" s="3" t="str">
        <f t="shared" si="26"/>
        <v xml:space="preserve"> </v>
      </c>
      <c r="K58" s="3" t="str">
        <f t="shared" si="40"/>
        <v/>
      </c>
      <c r="L58" s="30" t="str">
        <f t="shared" si="27"/>
        <v/>
      </c>
      <c r="M58" s="29" t="str">
        <f t="shared" si="41"/>
        <v/>
      </c>
      <c r="N58" s="29" t="str">
        <f t="shared" si="17"/>
        <v/>
      </c>
      <c r="O58" s="29" t="str">
        <f t="shared" si="28"/>
        <v/>
      </c>
      <c r="P58" s="29" t="str">
        <f t="shared" si="29"/>
        <v/>
      </c>
      <c r="Q58" s="29" t="str">
        <f t="shared" si="30"/>
        <v/>
      </c>
      <c r="R58" s="23" t="str">
        <f t="shared" si="31"/>
        <v/>
      </c>
      <c r="S58" s="5" t="str">
        <f t="shared" si="42"/>
        <v/>
      </c>
      <c r="T58" s="5" t="str">
        <f t="shared" si="19"/>
        <v/>
      </c>
      <c r="U58" s="5" t="str">
        <f t="shared" si="20"/>
        <v/>
      </c>
      <c r="V58" s="4" t="str">
        <f t="shared" si="32"/>
        <v/>
      </c>
      <c r="W58" s="6" t="str">
        <f t="shared" si="33"/>
        <v/>
      </c>
      <c r="X58" s="22" t="str">
        <f t="shared" si="34"/>
        <v/>
      </c>
      <c r="Y58" s="22" t="str">
        <f t="shared" si="35"/>
        <v/>
      </c>
      <c r="Z58" s="22"/>
      <c r="AA58" s="1">
        <v>55</v>
      </c>
      <c r="AB58" s="1">
        <v>1</v>
      </c>
      <c r="AC58" s="1" t="s">
        <v>38</v>
      </c>
      <c r="AD58" s="2">
        <v>45430</v>
      </c>
      <c r="AE58" s="2">
        <v>43781</v>
      </c>
      <c r="AF58" s="36">
        <v>144.19999999999999</v>
      </c>
      <c r="AG58" s="36">
        <v>126.49</v>
      </c>
      <c r="AH58" s="36">
        <v>17.71</v>
      </c>
      <c r="AI58" s="36">
        <v>1.6</v>
      </c>
      <c r="AK58" s="34" t="e">
        <f t="shared" si="21"/>
        <v>#VALUE!</v>
      </c>
      <c r="AL58" s="34" t="e">
        <f t="shared" si="22"/>
        <v>#VALUE!</v>
      </c>
      <c r="AM58" s="34" t="e">
        <f t="shared" si="23"/>
        <v>#VALUE!</v>
      </c>
      <c r="AN58" s="34" t="e">
        <f t="shared" si="24"/>
        <v>#VALUE!</v>
      </c>
    </row>
    <row r="59" spans="5:40" x14ac:dyDescent="0.25">
      <c r="E59" s="25">
        <f t="shared" si="36"/>
        <v>56</v>
      </c>
      <c r="F59" s="26" t="str">
        <f t="shared" si="37"/>
        <v/>
      </c>
      <c r="G59" s="27" t="str">
        <f t="shared" si="38"/>
        <v/>
      </c>
      <c r="H59" s="28" t="str">
        <f t="shared" si="25"/>
        <v/>
      </c>
      <c r="I59" s="3" t="str">
        <f t="shared" si="39"/>
        <v/>
      </c>
      <c r="J59" s="3" t="str">
        <f t="shared" si="26"/>
        <v xml:space="preserve"> </v>
      </c>
      <c r="K59" s="3" t="str">
        <f t="shared" si="40"/>
        <v/>
      </c>
      <c r="L59" s="30" t="str">
        <f t="shared" si="27"/>
        <v/>
      </c>
      <c r="M59" s="29" t="str">
        <f t="shared" si="41"/>
        <v/>
      </c>
      <c r="N59" s="29" t="str">
        <f t="shared" si="17"/>
        <v/>
      </c>
      <c r="O59" s="29" t="str">
        <f t="shared" si="28"/>
        <v/>
      </c>
      <c r="P59" s="29" t="str">
        <f t="shared" si="29"/>
        <v/>
      </c>
      <c r="Q59" s="29" t="str">
        <f t="shared" si="30"/>
        <v/>
      </c>
      <c r="R59" s="23" t="str">
        <f t="shared" si="31"/>
        <v/>
      </c>
      <c r="S59" s="5" t="str">
        <f t="shared" si="42"/>
        <v/>
      </c>
      <c r="T59" s="5" t="str">
        <f t="shared" si="19"/>
        <v/>
      </c>
      <c r="U59" s="5" t="str">
        <f t="shared" si="20"/>
        <v/>
      </c>
      <c r="V59" s="4" t="str">
        <f t="shared" si="32"/>
        <v/>
      </c>
      <c r="W59" s="6" t="str">
        <f t="shared" si="33"/>
        <v/>
      </c>
      <c r="X59" s="22" t="str">
        <f t="shared" si="34"/>
        <v/>
      </c>
      <c r="Y59" s="22" t="str">
        <f t="shared" si="35"/>
        <v/>
      </c>
      <c r="Z59" s="22"/>
      <c r="AA59" s="1">
        <v>56</v>
      </c>
      <c r="AB59" s="1">
        <v>1</v>
      </c>
      <c r="AC59" s="1" t="s">
        <v>38</v>
      </c>
      <c r="AD59" s="2">
        <v>45461</v>
      </c>
      <c r="AE59" s="2">
        <v>43781</v>
      </c>
      <c r="AF59" s="36">
        <v>144.19999999999999</v>
      </c>
      <c r="AG59" s="36">
        <v>128.79</v>
      </c>
      <c r="AH59" s="36">
        <v>15.41</v>
      </c>
      <c r="AI59" s="36">
        <v>1.34</v>
      </c>
      <c r="AK59" s="34" t="e">
        <f t="shared" si="21"/>
        <v>#VALUE!</v>
      </c>
      <c r="AL59" s="34" t="e">
        <f t="shared" si="22"/>
        <v>#VALUE!</v>
      </c>
      <c r="AM59" s="34" t="e">
        <f t="shared" si="23"/>
        <v>#VALUE!</v>
      </c>
      <c r="AN59" s="34" t="e">
        <f t="shared" si="24"/>
        <v>#VALUE!</v>
      </c>
    </row>
    <row r="60" spans="5:40" x14ac:dyDescent="0.25">
      <c r="E60" s="25">
        <f t="shared" si="36"/>
        <v>57</v>
      </c>
      <c r="F60" s="26" t="str">
        <f t="shared" si="37"/>
        <v/>
      </c>
      <c r="G60" s="27" t="str">
        <f t="shared" si="38"/>
        <v/>
      </c>
      <c r="H60" s="28" t="str">
        <f t="shared" si="25"/>
        <v/>
      </c>
      <c r="I60" s="3" t="str">
        <f t="shared" si="39"/>
        <v/>
      </c>
      <c r="J60" s="3" t="str">
        <f t="shared" si="26"/>
        <v xml:space="preserve"> </v>
      </c>
      <c r="K60" s="3" t="str">
        <f t="shared" si="40"/>
        <v/>
      </c>
      <c r="L60" s="30" t="str">
        <f t="shared" si="27"/>
        <v/>
      </c>
      <c r="M60" s="29" t="str">
        <f t="shared" si="41"/>
        <v/>
      </c>
      <c r="N60" s="29" t="str">
        <f t="shared" si="17"/>
        <v/>
      </c>
      <c r="O60" s="29" t="str">
        <f t="shared" si="28"/>
        <v/>
      </c>
      <c r="P60" s="29" t="str">
        <f t="shared" si="29"/>
        <v/>
      </c>
      <c r="Q60" s="29" t="str">
        <f t="shared" si="30"/>
        <v/>
      </c>
      <c r="R60" s="23" t="str">
        <f t="shared" si="31"/>
        <v/>
      </c>
      <c r="S60" s="5" t="str">
        <f t="shared" si="42"/>
        <v/>
      </c>
      <c r="T60" s="5" t="str">
        <f t="shared" si="19"/>
        <v/>
      </c>
      <c r="U60" s="5" t="str">
        <f t="shared" si="20"/>
        <v/>
      </c>
      <c r="V60" s="4" t="str">
        <f t="shared" si="32"/>
        <v/>
      </c>
      <c r="W60" s="6" t="str">
        <f t="shared" si="33"/>
        <v/>
      </c>
      <c r="X60" s="22" t="str">
        <f t="shared" si="34"/>
        <v/>
      </c>
      <c r="Y60" s="22" t="str">
        <f t="shared" si="35"/>
        <v/>
      </c>
      <c r="Z60" s="22"/>
      <c r="AA60" s="1">
        <v>57</v>
      </c>
      <c r="AB60" s="1">
        <v>1</v>
      </c>
      <c r="AC60" s="1" t="s">
        <v>38</v>
      </c>
      <c r="AD60" s="2">
        <v>45491</v>
      </c>
      <c r="AE60" s="2">
        <v>43781</v>
      </c>
      <c r="AF60" s="36">
        <v>144.19999999999999</v>
      </c>
      <c r="AG60" s="36">
        <v>132.13</v>
      </c>
      <c r="AH60" s="36">
        <v>12.07</v>
      </c>
      <c r="AI60" s="36">
        <v>1.0900000000000001</v>
      </c>
      <c r="AK60" s="34" t="e">
        <f t="shared" si="21"/>
        <v>#VALUE!</v>
      </c>
      <c r="AL60" s="34" t="e">
        <f t="shared" si="22"/>
        <v>#VALUE!</v>
      </c>
      <c r="AM60" s="34" t="e">
        <f t="shared" si="23"/>
        <v>#VALUE!</v>
      </c>
      <c r="AN60" s="34" t="e">
        <f t="shared" si="24"/>
        <v>#VALUE!</v>
      </c>
    </row>
    <row r="61" spans="5:40" x14ac:dyDescent="0.25">
      <c r="E61" s="25">
        <f t="shared" si="36"/>
        <v>58</v>
      </c>
      <c r="F61" s="26" t="str">
        <f t="shared" si="37"/>
        <v/>
      </c>
      <c r="G61" s="27" t="str">
        <f t="shared" si="38"/>
        <v/>
      </c>
      <c r="H61" s="28" t="str">
        <f t="shared" si="25"/>
        <v/>
      </c>
      <c r="I61" s="3" t="str">
        <f t="shared" si="39"/>
        <v/>
      </c>
      <c r="J61" s="3" t="str">
        <f t="shared" si="26"/>
        <v xml:space="preserve"> </v>
      </c>
      <c r="K61" s="3" t="str">
        <f t="shared" si="40"/>
        <v/>
      </c>
      <c r="L61" s="30" t="str">
        <f t="shared" si="27"/>
        <v/>
      </c>
      <c r="M61" s="29" t="str">
        <f t="shared" si="41"/>
        <v/>
      </c>
      <c r="N61" s="29" t="str">
        <f t="shared" si="17"/>
        <v/>
      </c>
      <c r="O61" s="29" t="str">
        <f t="shared" si="28"/>
        <v/>
      </c>
      <c r="P61" s="29" t="str">
        <f t="shared" si="29"/>
        <v/>
      </c>
      <c r="Q61" s="29" t="str">
        <f t="shared" si="30"/>
        <v/>
      </c>
      <c r="R61" s="23" t="str">
        <f t="shared" si="31"/>
        <v/>
      </c>
      <c r="S61" s="5" t="str">
        <f t="shared" si="42"/>
        <v/>
      </c>
      <c r="T61" s="5" t="str">
        <f t="shared" si="19"/>
        <v/>
      </c>
      <c r="U61" s="5" t="str">
        <f t="shared" si="20"/>
        <v/>
      </c>
      <c r="V61" s="4" t="str">
        <f t="shared" si="32"/>
        <v/>
      </c>
      <c r="W61" s="6" t="str">
        <f t="shared" si="33"/>
        <v/>
      </c>
      <c r="X61" s="22" t="str">
        <f t="shared" si="34"/>
        <v/>
      </c>
      <c r="Y61" s="22" t="str">
        <f t="shared" si="35"/>
        <v/>
      </c>
      <c r="Z61" s="22"/>
      <c r="AA61" s="1">
        <v>58</v>
      </c>
      <c r="AB61" s="1">
        <v>1</v>
      </c>
      <c r="AC61" s="1" t="s">
        <v>38</v>
      </c>
      <c r="AD61" s="2">
        <v>45522</v>
      </c>
      <c r="AE61" s="2">
        <v>43781</v>
      </c>
      <c r="AF61" s="36">
        <v>144.19999999999999</v>
      </c>
      <c r="AG61" s="36">
        <v>134.75</v>
      </c>
      <c r="AH61" s="36">
        <v>9.4499999999999993</v>
      </c>
      <c r="AI61" s="36">
        <v>0.82</v>
      </c>
      <c r="AK61" s="34" t="e">
        <f t="shared" si="21"/>
        <v>#VALUE!</v>
      </c>
      <c r="AL61" s="34" t="e">
        <f t="shared" si="22"/>
        <v>#VALUE!</v>
      </c>
      <c r="AM61" s="34" t="e">
        <f t="shared" si="23"/>
        <v>#VALUE!</v>
      </c>
      <c r="AN61" s="34" t="e">
        <f t="shared" si="24"/>
        <v>#VALUE!</v>
      </c>
    </row>
    <row r="62" spans="5:40" x14ac:dyDescent="0.25">
      <c r="E62" s="25">
        <f t="shared" si="36"/>
        <v>59</v>
      </c>
      <c r="F62" s="26" t="str">
        <f t="shared" si="37"/>
        <v/>
      </c>
      <c r="G62" s="27" t="str">
        <f t="shared" si="38"/>
        <v/>
      </c>
      <c r="H62" s="28" t="str">
        <f t="shared" si="25"/>
        <v/>
      </c>
      <c r="I62" s="3" t="str">
        <f t="shared" si="39"/>
        <v/>
      </c>
      <c r="J62" s="3" t="str">
        <f t="shared" si="26"/>
        <v xml:space="preserve"> </v>
      </c>
      <c r="K62" s="3" t="str">
        <f t="shared" si="40"/>
        <v/>
      </c>
      <c r="L62" s="30" t="str">
        <f t="shared" si="27"/>
        <v/>
      </c>
      <c r="M62" s="29" t="str">
        <f t="shared" si="41"/>
        <v/>
      </c>
      <c r="N62" s="29" t="str">
        <f t="shared" si="17"/>
        <v/>
      </c>
      <c r="O62" s="29" t="str">
        <f t="shared" si="28"/>
        <v/>
      </c>
      <c r="P62" s="29" t="str">
        <f t="shared" si="29"/>
        <v/>
      </c>
      <c r="Q62" s="29" t="str">
        <f t="shared" si="30"/>
        <v/>
      </c>
      <c r="R62" s="23" t="str">
        <f t="shared" si="31"/>
        <v/>
      </c>
      <c r="S62" s="5" t="str">
        <f t="shared" si="42"/>
        <v/>
      </c>
      <c r="T62" s="5" t="str">
        <f t="shared" si="19"/>
        <v/>
      </c>
      <c r="U62" s="5" t="str">
        <f t="shared" si="20"/>
        <v/>
      </c>
      <c r="V62" s="4" t="str">
        <f t="shared" si="32"/>
        <v/>
      </c>
      <c r="W62" s="6" t="str">
        <f t="shared" si="33"/>
        <v/>
      </c>
      <c r="X62" s="22" t="str">
        <f t="shared" si="34"/>
        <v/>
      </c>
      <c r="Y62" s="22" t="str">
        <f t="shared" si="35"/>
        <v/>
      </c>
      <c r="Z62" s="22"/>
      <c r="AA62" s="1">
        <v>59</v>
      </c>
      <c r="AB62" s="1">
        <v>1</v>
      </c>
      <c r="AC62" s="1" t="s">
        <v>38</v>
      </c>
      <c r="AD62" s="2">
        <v>45553</v>
      </c>
      <c r="AE62" s="2">
        <v>43781</v>
      </c>
      <c r="AF62" s="36">
        <v>144.19999999999999</v>
      </c>
      <c r="AG62" s="36">
        <v>137.83000000000001</v>
      </c>
      <c r="AH62" s="36">
        <v>6.37</v>
      </c>
      <c r="AI62" s="36">
        <v>0.55000000000000004</v>
      </c>
      <c r="AK62" s="34" t="e">
        <f t="shared" si="21"/>
        <v>#VALUE!</v>
      </c>
      <c r="AL62" s="34" t="e">
        <f t="shared" si="22"/>
        <v>#VALUE!</v>
      </c>
      <c r="AM62" s="34" t="e">
        <f t="shared" si="23"/>
        <v>#VALUE!</v>
      </c>
      <c r="AN62" s="34" t="e">
        <f t="shared" si="24"/>
        <v>#VALUE!</v>
      </c>
    </row>
    <row r="63" spans="5:40" x14ac:dyDescent="0.25">
      <c r="E63" s="25">
        <f t="shared" si="36"/>
        <v>60</v>
      </c>
      <c r="F63" s="26" t="str">
        <f t="shared" si="37"/>
        <v/>
      </c>
      <c r="G63" s="27" t="str">
        <f t="shared" si="38"/>
        <v/>
      </c>
      <c r="H63" s="28" t="str">
        <f t="shared" si="25"/>
        <v/>
      </c>
      <c r="I63" s="3" t="str">
        <f t="shared" si="39"/>
        <v/>
      </c>
      <c r="J63" s="3" t="str">
        <f t="shared" si="26"/>
        <v xml:space="preserve"> </v>
      </c>
      <c r="K63" s="3" t="str">
        <f t="shared" si="40"/>
        <v/>
      </c>
      <c r="L63" s="30" t="str">
        <f t="shared" si="27"/>
        <v/>
      </c>
      <c r="M63" s="29" t="str">
        <f t="shared" si="41"/>
        <v/>
      </c>
      <c r="N63" s="29" t="str">
        <f t="shared" si="17"/>
        <v/>
      </c>
      <c r="O63" s="29" t="str">
        <f t="shared" si="28"/>
        <v/>
      </c>
      <c r="P63" s="29" t="str">
        <f t="shared" si="29"/>
        <v/>
      </c>
      <c r="Q63" s="29" t="str">
        <f t="shared" si="30"/>
        <v/>
      </c>
      <c r="R63" s="23" t="str">
        <f t="shared" si="31"/>
        <v/>
      </c>
      <c r="S63" s="5" t="str">
        <f t="shared" si="42"/>
        <v/>
      </c>
      <c r="T63" s="5" t="str">
        <f t="shared" si="19"/>
        <v/>
      </c>
      <c r="U63" s="5" t="str">
        <f t="shared" si="20"/>
        <v/>
      </c>
      <c r="V63" s="4" t="str">
        <f t="shared" si="32"/>
        <v/>
      </c>
      <c r="W63" s="6" t="str">
        <f t="shared" si="33"/>
        <v/>
      </c>
      <c r="X63" s="22" t="str">
        <f t="shared" si="34"/>
        <v/>
      </c>
      <c r="Y63" s="22" t="str">
        <f t="shared" si="35"/>
        <v/>
      </c>
      <c r="Z63" s="22"/>
      <c r="AA63" s="1">
        <v>60</v>
      </c>
      <c r="AB63" s="1">
        <v>1</v>
      </c>
      <c r="AC63" s="1" t="s">
        <v>38</v>
      </c>
      <c r="AD63" s="2">
        <v>45583</v>
      </c>
      <c r="AE63" s="2">
        <v>43781</v>
      </c>
      <c r="AF63" s="36">
        <v>144.08000000000001</v>
      </c>
      <c r="AG63" s="36">
        <v>140.97</v>
      </c>
      <c r="AH63" s="36">
        <v>3.11</v>
      </c>
      <c r="AI63" s="36">
        <v>0.28000000000000003</v>
      </c>
      <c r="AK63" s="34" t="e">
        <f t="shared" si="21"/>
        <v>#VALUE!</v>
      </c>
      <c r="AL63" s="34" t="e">
        <f t="shared" si="22"/>
        <v>#VALUE!</v>
      </c>
      <c r="AM63" s="34" t="e">
        <f t="shared" si="23"/>
        <v>#VALUE!</v>
      </c>
      <c r="AN63" s="34" t="e">
        <f t="shared" si="24"/>
        <v>#VALUE!</v>
      </c>
    </row>
    <row r="64" spans="5:40" x14ac:dyDescent="0.25">
      <c r="E64" s="25" t="str">
        <f t="shared" si="36"/>
        <v xml:space="preserve"> </v>
      </c>
      <c r="F64" s="26" t="str">
        <f t="shared" si="37"/>
        <v xml:space="preserve"> </v>
      </c>
      <c r="G64" s="27" t="str">
        <f t="shared" si="38"/>
        <v xml:space="preserve"> </v>
      </c>
      <c r="H64" s="28" t="str">
        <f t="shared" si="25"/>
        <v xml:space="preserve"> </v>
      </c>
      <c r="I64" s="3" t="str">
        <f t="shared" si="39"/>
        <v xml:space="preserve"> </v>
      </c>
      <c r="J64" s="3" t="str">
        <f t="shared" si="26"/>
        <v xml:space="preserve"> </v>
      </c>
      <c r="K64" s="3" t="str">
        <f t="shared" si="40"/>
        <v/>
      </c>
      <c r="L64" s="30" t="str">
        <f t="shared" ref="L64:L68" si="43">IFERROR(ROUND(IF($C$18=" "," ",$C$13/K64),2),"")</f>
        <v/>
      </c>
      <c r="M64" s="29" t="str">
        <f t="shared" si="41"/>
        <v/>
      </c>
      <c r="N64" s="29" t="str">
        <f t="shared" si="17"/>
        <v/>
      </c>
      <c r="O64" s="29" t="str">
        <f t="shared" si="28"/>
        <v/>
      </c>
      <c r="P64" s="29" t="str">
        <f t="shared" si="29"/>
        <v/>
      </c>
      <c r="Q64" s="29" t="str">
        <f t="shared" si="30"/>
        <v/>
      </c>
      <c r="R64" s="23" t="str">
        <f t="shared" si="31"/>
        <v/>
      </c>
      <c r="S64" s="5" t="str">
        <f t="shared" si="42"/>
        <v/>
      </c>
      <c r="T64" s="5" t="str">
        <f t="shared" si="19"/>
        <v/>
      </c>
      <c r="U64" s="5" t="str">
        <f t="shared" si="20"/>
        <v/>
      </c>
      <c r="V64" s="4" t="str">
        <f t="shared" si="32"/>
        <v xml:space="preserve"> </v>
      </c>
      <c r="W64" s="6" t="str">
        <f t="shared" si="33"/>
        <v xml:space="preserve"> </v>
      </c>
      <c r="X64" s="22" t="str">
        <f t="shared" si="34"/>
        <v/>
      </c>
      <c r="Y64" s="22" t="str">
        <f t="shared" si="35"/>
        <v/>
      </c>
      <c r="Z64" s="22"/>
    </row>
    <row r="65" spans="5:26" x14ac:dyDescent="0.25">
      <c r="E65" s="25" t="str">
        <f t="shared" si="36"/>
        <v xml:space="preserve"> </v>
      </c>
      <c r="F65" s="26" t="str">
        <f t="shared" si="37"/>
        <v xml:space="preserve"> </v>
      </c>
      <c r="G65" s="27" t="str">
        <f t="shared" si="38"/>
        <v xml:space="preserve"> </v>
      </c>
      <c r="H65" s="28" t="str">
        <f t="shared" si="25"/>
        <v xml:space="preserve"> </v>
      </c>
      <c r="I65" s="3" t="str">
        <f t="shared" si="39"/>
        <v xml:space="preserve"> </v>
      </c>
      <c r="J65" s="3" t="str">
        <f t="shared" si="26"/>
        <v xml:space="preserve"> </v>
      </c>
      <c r="K65" s="3" t="str">
        <f t="shared" si="40"/>
        <v/>
      </c>
      <c r="L65" s="30" t="str">
        <f t="shared" si="43"/>
        <v/>
      </c>
      <c r="M65" s="29" t="str">
        <f t="shared" si="41"/>
        <v/>
      </c>
      <c r="N65" s="29" t="str">
        <f t="shared" si="17"/>
        <v/>
      </c>
      <c r="O65" s="29" t="str">
        <f t="shared" si="28"/>
        <v/>
      </c>
      <c r="P65" s="29" t="str">
        <f t="shared" si="29"/>
        <v/>
      </c>
      <c r="Q65" s="29" t="str">
        <f t="shared" si="30"/>
        <v/>
      </c>
      <c r="R65" s="23" t="str">
        <f t="shared" si="31"/>
        <v/>
      </c>
      <c r="S65" s="5" t="str">
        <f t="shared" si="42"/>
        <v/>
      </c>
      <c r="T65" s="5" t="str">
        <f t="shared" si="19"/>
        <v/>
      </c>
      <c r="U65" s="5" t="str">
        <f t="shared" si="20"/>
        <v/>
      </c>
      <c r="V65" s="4" t="str">
        <f t="shared" si="32"/>
        <v xml:space="preserve"> </v>
      </c>
      <c r="W65" s="6" t="str">
        <f t="shared" si="33"/>
        <v xml:space="preserve"> </v>
      </c>
      <c r="X65" s="22" t="str">
        <f t="shared" si="34"/>
        <v/>
      </c>
      <c r="Y65" s="22" t="str">
        <f t="shared" si="35"/>
        <v/>
      </c>
      <c r="Z65" s="22"/>
    </row>
    <row r="66" spans="5:26" x14ac:dyDescent="0.25">
      <c r="E66" s="25" t="str">
        <f t="shared" si="36"/>
        <v xml:space="preserve"> </v>
      </c>
      <c r="F66" s="26" t="str">
        <f t="shared" si="37"/>
        <v xml:space="preserve"> </v>
      </c>
      <c r="G66" s="27" t="str">
        <f t="shared" si="38"/>
        <v xml:space="preserve"> </v>
      </c>
      <c r="H66" s="28" t="str">
        <f t="shared" si="25"/>
        <v xml:space="preserve"> </v>
      </c>
      <c r="I66" s="3" t="str">
        <f t="shared" si="39"/>
        <v xml:space="preserve"> </v>
      </c>
      <c r="J66" s="3" t="str">
        <f t="shared" si="26"/>
        <v xml:space="preserve"> </v>
      </c>
      <c r="K66" s="3" t="str">
        <f t="shared" si="40"/>
        <v/>
      </c>
      <c r="L66" s="30" t="str">
        <f t="shared" si="43"/>
        <v/>
      </c>
      <c r="M66" s="29" t="str">
        <f t="shared" si="41"/>
        <v/>
      </c>
      <c r="N66" s="29" t="str">
        <f t="shared" si="17"/>
        <v/>
      </c>
      <c r="O66" s="29" t="str">
        <f t="shared" si="28"/>
        <v/>
      </c>
      <c r="P66" s="29" t="str">
        <f t="shared" si="29"/>
        <v/>
      </c>
      <c r="Q66" s="29" t="str">
        <f t="shared" si="30"/>
        <v/>
      </c>
      <c r="R66" s="23" t="str">
        <f t="shared" si="31"/>
        <v/>
      </c>
      <c r="S66" s="5" t="str">
        <f t="shared" si="42"/>
        <v/>
      </c>
      <c r="T66" s="5" t="str">
        <f t="shared" si="19"/>
        <v/>
      </c>
      <c r="U66" s="5" t="str">
        <f t="shared" si="20"/>
        <v/>
      </c>
      <c r="V66" s="4" t="str">
        <f t="shared" si="32"/>
        <v xml:space="preserve"> </v>
      </c>
      <c r="W66" s="6" t="str">
        <f t="shared" si="33"/>
        <v xml:space="preserve"> </v>
      </c>
      <c r="X66" s="22" t="str">
        <f t="shared" si="34"/>
        <v/>
      </c>
      <c r="Y66" s="22" t="str">
        <f t="shared" si="35"/>
        <v/>
      </c>
      <c r="Z66" s="22"/>
    </row>
    <row r="67" spans="5:26" x14ac:dyDescent="0.25">
      <c r="E67" s="25" t="str">
        <f t="shared" si="36"/>
        <v xml:space="preserve"> </v>
      </c>
      <c r="F67" s="26" t="str">
        <f t="shared" si="37"/>
        <v xml:space="preserve"> </v>
      </c>
      <c r="G67" s="27" t="str">
        <f t="shared" si="38"/>
        <v xml:space="preserve"> </v>
      </c>
      <c r="H67" s="28" t="str">
        <f t="shared" si="25"/>
        <v xml:space="preserve"> </v>
      </c>
      <c r="I67" s="3" t="str">
        <f t="shared" si="39"/>
        <v xml:space="preserve"> </v>
      </c>
      <c r="J67" s="3" t="str">
        <f t="shared" si="26"/>
        <v xml:space="preserve"> </v>
      </c>
      <c r="K67" s="3" t="str">
        <f t="shared" si="40"/>
        <v/>
      </c>
      <c r="L67" s="30" t="str">
        <f t="shared" si="43"/>
        <v/>
      </c>
      <c r="M67" s="29" t="str">
        <f t="shared" si="41"/>
        <v/>
      </c>
      <c r="N67" s="29" t="str">
        <f t="shared" si="17"/>
        <v/>
      </c>
      <c r="O67" s="29" t="str">
        <f t="shared" si="28"/>
        <v/>
      </c>
      <c r="P67" s="29" t="str">
        <f t="shared" si="29"/>
        <v/>
      </c>
      <c r="Q67" s="29" t="str">
        <f t="shared" si="30"/>
        <v/>
      </c>
      <c r="R67" s="23" t="str">
        <f t="shared" si="31"/>
        <v/>
      </c>
      <c r="S67" s="5" t="str">
        <f t="shared" si="42"/>
        <v/>
      </c>
      <c r="T67" s="5" t="str">
        <f t="shared" si="19"/>
        <v/>
      </c>
      <c r="U67" s="5" t="str">
        <f t="shared" si="20"/>
        <v/>
      </c>
      <c r="V67" s="4" t="str">
        <f t="shared" si="32"/>
        <v xml:space="preserve"> </v>
      </c>
      <c r="W67" s="6" t="str">
        <f t="shared" si="33"/>
        <v xml:space="preserve"> </v>
      </c>
      <c r="X67" s="22" t="str">
        <f t="shared" si="34"/>
        <v/>
      </c>
      <c r="Y67" s="22" t="str">
        <f t="shared" si="35"/>
        <v/>
      </c>
      <c r="Z67" s="22"/>
    </row>
    <row r="68" spans="5:26" x14ac:dyDescent="0.25">
      <c r="E68" s="25" t="str">
        <f t="shared" si="36"/>
        <v xml:space="preserve"> </v>
      </c>
      <c r="F68" s="26" t="str">
        <f t="shared" si="37"/>
        <v xml:space="preserve"> </v>
      </c>
      <c r="G68" s="27" t="str">
        <f t="shared" si="38"/>
        <v xml:space="preserve"> </v>
      </c>
      <c r="H68" s="28" t="str">
        <f t="shared" si="25"/>
        <v xml:space="preserve"> </v>
      </c>
      <c r="I68" s="3" t="str">
        <f t="shared" si="39"/>
        <v xml:space="preserve"> </v>
      </c>
      <c r="J68" s="3" t="str">
        <f t="shared" ref="J68:J69" si="44">IFERROR(IF($C$18=" "," ",1/(1+I68))," ")</f>
        <v xml:space="preserve"> </v>
      </c>
      <c r="K68" s="3" t="str">
        <f t="shared" si="40"/>
        <v/>
      </c>
      <c r="L68" s="30" t="str">
        <f t="shared" si="43"/>
        <v/>
      </c>
      <c r="M68" s="29" t="str">
        <f t="shared" si="41"/>
        <v/>
      </c>
      <c r="N68" s="29" t="str">
        <f t="shared" si="17"/>
        <v/>
      </c>
      <c r="O68" s="29" t="str">
        <f t="shared" ref="O68:O69" si="45">IFERROR(IF($C$17=E68,M68,TRUNC($C$19-N68,2)),"")</f>
        <v/>
      </c>
      <c r="P68" s="29" t="str">
        <f t="shared" ref="P68:P69" si="46">IF(TRUNC(SUM(N68:O68),2)&lt;=0,"",TRUNC(SUM(N68:O68),2))</f>
        <v/>
      </c>
      <c r="Q68" s="29" t="str">
        <f t="shared" si="30"/>
        <v/>
      </c>
      <c r="R68" s="23" t="str">
        <f t="shared" si="31"/>
        <v/>
      </c>
      <c r="S68" s="5" t="str">
        <f t="shared" si="42"/>
        <v/>
      </c>
      <c r="T68" s="5" t="str">
        <f t="shared" si="19"/>
        <v/>
      </c>
      <c r="U68" s="5" t="str">
        <f t="shared" si="20"/>
        <v/>
      </c>
      <c r="V68" s="4" t="str">
        <f t="shared" si="32"/>
        <v xml:space="preserve"> </v>
      </c>
      <c r="W68" s="6" t="str">
        <f t="shared" si="33"/>
        <v xml:space="preserve"> </v>
      </c>
      <c r="X68" s="22" t="str">
        <f t="shared" si="34"/>
        <v/>
      </c>
      <c r="Y68" s="22" t="str">
        <f t="shared" si="35"/>
        <v/>
      </c>
      <c r="Z68" s="22"/>
    </row>
    <row r="69" spans="5:26" x14ac:dyDescent="0.25">
      <c r="E69" s="25" t="str">
        <f t="shared" si="36"/>
        <v xml:space="preserve"> </v>
      </c>
      <c r="F69" s="26" t="str">
        <f t="shared" ref="F69" si="47">IFERROR(TEXT(IF($E69&lt;=$C$17,EDATE($F$4,E69 - 1)," "),"DD/MM/YYYY"),"")</f>
        <v xml:space="preserve"> </v>
      </c>
      <c r="G69" s="27" t="str">
        <f t="shared" ref="G69" si="48">IFERROR(IF(E69=" "," ",F69-F68),"")</f>
        <v xml:space="preserve"> </v>
      </c>
      <c r="H69" s="28" t="str">
        <f t="shared" si="25"/>
        <v xml:space="preserve"> </v>
      </c>
      <c r="I69" s="3" t="str">
        <f t="shared" ref="I69" si="49">IFERROR(IF(E69=" "," ",ROUND(I68+H69+(I68*H69),6)),"")</f>
        <v xml:space="preserve"> </v>
      </c>
      <c r="J69" s="3" t="str">
        <f t="shared" si="44"/>
        <v xml:space="preserve"> </v>
      </c>
      <c r="K69" s="3" t="str">
        <f t="shared" ref="K69" si="50">IFERROR(IF($C$18=" "," ",K68+J69),"")</f>
        <v/>
      </c>
      <c r="L69" s="30" t="str">
        <f t="shared" ref="L69" si="51">IFERROR(ROUND(IF($C$18=" "," ",$C$13/K69),2),"")</f>
        <v/>
      </c>
      <c r="M69" s="29" t="str">
        <f t="shared" si="41"/>
        <v/>
      </c>
      <c r="N69" s="29" t="str">
        <f t="shared" ref="N69" si="52">IFERROR(IF(AND(R68="N",R69="Y"),SUM(X69:Y69),IF(AND(R68="Y",R69="N"),SUM(X69:Y69),TRUNC((M69+(0*(-1)))*(H69)+(0*(-1)),2))),"")</f>
        <v/>
      </c>
      <c r="O69" s="29" t="str">
        <f t="shared" si="45"/>
        <v/>
      </c>
      <c r="P69" s="29" t="str">
        <f t="shared" si="46"/>
        <v/>
      </c>
      <c r="Q69" s="29" t="str">
        <f t="shared" si="30"/>
        <v/>
      </c>
      <c r="R69" s="23" t="str">
        <f t="shared" si="31"/>
        <v/>
      </c>
      <c r="S69" s="5" t="str">
        <f t="shared" ref="S69" si="53">TEXT(IF(AND(R68="N",R69="Y"),EDATE($F$4,E69-2),IF(AND(R68="Y",R69="N"),EDATE($F$4,E69-2),"")),"DD/MM/YYYY")</f>
        <v/>
      </c>
      <c r="T69" s="5" t="str">
        <f t="shared" ref="T69" si="54">TEXT(IFERROR(DATE(YEAR(S69),12,31),""),"DD/MM/YYYY")</f>
        <v/>
      </c>
      <c r="U69" s="5" t="str">
        <f t="shared" ref="U69" si="55">TEXT(IFERROR(EDATE($S69,1),""),"DD/MM/YYYY")</f>
        <v/>
      </c>
      <c r="V69" s="4" t="str">
        <f t="shared" si="32"/>
        <v xml:space="preserve"> </v>
      </c>
      <c r="W69" s="6" t="str">
        <f t="shared" si="33"/>
        <v xml:space="preserve"> </v>
      </c>
      <c r="X69" s="22" t="str">
        <f t="shared" si="34"/>
        <v/>
      </c>
      <c r="Y69" s="22" t="str">
        <f t="shared" si="35"/>
        <v/>
      </c>
      <c r="Z69" s="22"/>
    </row>
    <row r="70" spans="5:26" x14ac:dyDescent="0.25">
      <c r="Q70" s="29"/>
    </row>
    <row r="71" spans="5:26" x14ac:dyDescent="0.25">
      <c r="Q71" s="29"/>
    </row>
    <row r="72" spans="5:26" x14ac:dyDescent="0.25">
      <c r="Q72" s="29"/>
    </row>
  </sheetData>
  <sheetProtection algorithmName="SHA-512" hashValue="0QKg4QGVynwuSPNa1VENy4GVMMGWdwIeFvhWTOylyqvZH8YrN4DjAf0giwnfexrh8ZXFMvwSL7cyYkPJvpnyFw==" saltValue="ucX8kYXd0NYv7VDwekwhFQ==" spinCount="100000" sheet="1" objects="1" scenarios="1"/>
  <mergeCells count="5">
    <mergeCell ref="B5:C5"/>
    <mergeCell ref="B9:C9"/>
    <mergeCell ref="E2:P2"/>
    <mergeCell ref="AK3:AN3"/>
    <mergeCell ref="AA3:AI3"/>
  </mergeCells>
  <conditionalFormatting sqref="R4">
    <cfRule type="cellIs" dxfId="54" priority="8" operator="equal">
      <formula>"Y"</formula>
    </cfRule>
  </conditionalFormatting>
  <conditionalFormatting sqref="M4:R4 Q70:Q72 M5:P5 R5:R69 M10:M69 O10:P69 M6:M8 O6:P8 N6:N69">
    <cfRule type="cellIs" dxfId="53" priority="7" operator="equal">
      <formula>"Y"</formula>
    </cfRule>
  </conditionalFormatting>
  <conditionalFormatting sqref="M9 O9:P9">
    <cfRule type="cellIs" dxfId="52" priority="4" operator="equal">
      <formula>"Y"</formula>
    </cfRule>
  </conditionalFormatting>
  <conditionalFormatting sqref="Q5:Q69">
    <cfRule type="cellIs" dxfId="51" priority="3" operator="equal">
      <formula>"Y"</formula>
    </cfRule>
  </conditionalFormatting>
  <conditionalFormatting sqref="AK4:AN63">
    <cfRule type="cellIs" dxfId="50" priority="1" operator="lessThan">
      <formula>0</formula>
    </cfRule>
    <cfRule type="cellIs" dxfId="49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72"/>
  <sheetViews>
    <sheetView showGridLines="0" topLeftCell="D55" zoomScale="85" zoomScaleNormal="85" workbookViewId="0">
      <selection activeCell="C14" sqref="C14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12.7109375" style="1" bestFit="1" customWidth="1"/>
    <col min="18" max="18" width="8" style="22" hidden="1" customWidth="1"/>
    <col min="19" max="19" width="11.7109375" style="1" hidden="1" customWidth="1"/>
    <col min="20" max="20" width="16.140625" style="1" hidden="1" customWidth="1"/>
    <col min="21" max="21" width="11.28515625" style="1" hidden="1" customWidth="1"/>
    <col min="22" max="22" width="8.7109375" style="1" hidden="1" customWidth="1"/>
    <col min="23" max="23" width="12.28515625" style="1" hidden="1" customWidth="1"/>
    <col min="24" max="25" width="6.140625" style="1" hidden="1" customWidth="1"/>
    <col min="26" max="26" width="2.5703125" style="1" customWidth="1"/>
    <col min="27" max="27" width="3.140625" style="1" bestFit="1" customWidth="1"/>
    <col min="28" max="28" width="2.140625" style="1" bestFit="1" customWidth="1"/>
    <col min="29" max="29" width="11" style="1" bestFit="1" customWidth="1"/>
    <col min="30" max="31" width="10.85546875" style="1" bestFit="1" customWidth="1"/>
    <col min="32" max="34" width="9" style="36" bestFit="1" customWidth="1"/>
    <col min="35" max="35" width="8" style="36" bestFit="1" customWidth="1"/>
    <col min="36" max="36" width="2.7109375" style="1" customWidth="1"/>
    <col min="37" max="16384" width="11.42578125" style="1"/>
  </cols>
  <sheetData>
    <row r="1" spans="2:40" x14ac:dyDescent="0.25">
      <c r="F1" s="1"/>
      <c r="G1" s="1"/>
      <c r="R1" s="1"/>
    </row>
    <row r="2" spans="2:40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3"/>
      <c r="R2" s="24"/>
      <c r="S2" s="24"/>
      <c r="T2" s="24"/>
      <c r="U2" s="24"/>
      <c r="V2" s="24"/>
      <c r="W2" s="24"/>
      <c r="X2" s="24"/>
      <c r="Y2" s="24"/>
      <c r="Z2" s="35"/>
    </row>
    <row r="3" spans="2:40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0" t="s">
        <v>22</v>
      </c>
      <c r="Q3" s="21" t="s">
        <v>32</v>
      </c>
      <c r="R3" s="19" t="s">
        <v>23</v>
      </c>
      <c r="S3" s="20" t="s">
        <v>24</v>
      </c>
      <c r="T3" s="20" t="s">
        <v>25</v>
      </c>
      <c r="U3" s="20" t="s">
        <v>26</v>
      </c>
      <c r="V3" s="20" t="s">
        <v>27</v>
      </c>
      <c r="W3" s="20" t="s">
        <v>28</v>
      </c>
      <c r="X3" s="20" t="s">
        <v>29</v>
      </c>
      <c r="Y3" s="21" t="s">
        <v>30</v>
      </c>
      <c r="Z3" s="22"/>
      <c r="AA3" s="40" t="s">
        <v>40</v>
      </c>
      <c r="AB3" s="41"/>
      <c r="AC3" s="41"/>
      <c r="AD3" s="41"/>
      <c r="AE3" s="41"/>
      <c r="AF3" s="41"/>
      <c r="AG3" s="41"/>
      <c r="AH3" s="41"/>
      <c r="AI3" s="42"/>
      <c r="AK3" s="40" t="s">
        <v>39</v>
      </c>
      <c r="AL3" s="41"/>
      <c r="AM3" s="41"/>
      <c r="AN3" s="42"/>
    </row>
    <row r="4" spans="2:40" x14ac:dyDescent="0.25">
      <c r="E4" s="25">
        <f>IFERROR(IF($C$18&gt;0,1," "),"")</f>
        <v>1</v>
      </c>
      <c r="F4" s="26" t="str">
        <f>IFERROR(IF(C18&gt;0,TEXT(IF($E$4&gt;0,C18," "),"DD/MM/YYYY")," "),"")</f>
        <v>25/11/2019</v>
      </c>
      <c r="G4" s="27" t="str">
        <f>IFERROR(IF(E4=" "," ",F4-$C$11),"")</f>
        <v/>
      </c>
      <c r="H4" s="28" t="str">
        <f t="shared" ref="H4:H67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67" si="1">IFERROR(IF($C$18=" "," ",1/(1+I4))," ")</f>
        <v xml:space="preserve"> </v>
      </c>
      <c r="K4" s="3" t="str">
        <f>IFERROR(IF($C$18=" "," ",L1+J4),"")</f>
        <v/>
      </c>
      <c r="L4" s="30" t="str">
        <f t="shared" ref="L4:L63" si="2">IFERROR(TRUNC(IF($C$18=" "," ",$C$13/K4),2),"")</f>
        <v/>
      </c>
      <c r="M4" s="29">
        <f>IFERROR(IF(C13&gt;0,C13," "),"")</f>
        <v>5500</v>
      </c>
      <c r="N4" s="29" t="str">
        <f>IFERROR(IF(AND(R2="N",R4="Y"),SUM(X4:Y4),IF(AND(R2="Y",R4="N"),SUM(X4:Y4),TRUNC((M4+(0*(-1)))*(H4)+(0*(-1)),2))),"")</f>
        <v/>
      </c>
      <c r="O4" s="29" t="str">
        <f t="shared" ref="O4:O67" si="3">IFERROR(IF($C$17=E4,M4,TRUNC($C$19-N4,2)),"")</f>
        <v/>
      </c>
      <c r="P4" s="29" t="str">
        <f t="shared" ref="P4:P67" si="4">IF(TRUNC(SUM(N4:O4),2)&lt;=0,"",TRUNC(SUM(N4:O4),2))</f>
        <v/>
      </c>
      <c r="Q4" s="29">
        <f t="shared" ref="Q4:Q67" si="5">IFERROR(IF($C$12="","",IF(TEXT(MID($C$12,1,2),"")="EX",TRUNC(M4*0.002,2))),"")</f>
        <v>11</v>
      </c>
      <c r="R4" s="23" t="str">
        <f t="shared" ref="R4:R67" si="6">IFERROR(IF(IF(DAY(DATE(MID(F4,7,4),3,0))=29,366,365)=366,"Y","N"),"")</f>
        <v>N</v>
      </c>
      <c r="S4" s="5" t="str">
        <f>TEXT(IF(AND(R2="N",R4="Y"),EDATE($F$4,E4-2),IF(AND(R2="Y",R4="N"),EDATE($F$4,E4-2),"")),"DD/MM/YYYY")</f>
        <v/>
      </c>
      <c r="T4" s="5" t="str">
        <f>TEXT(IFERROR(DATE(YEAR(S4),12,31),""),"DD/MM/YYYY")</f>
        <v/>
      </c>
      <c r="U4" s="5" t="str">
        <f>TEXT(IFERROR(EDATE($S4,1),""),"DD/MM/YYYY")</f>
        <v/>
      </c>
      <c r="V4" s="4" t="str">
        <f t="shared" ref="V4:V35" si="7">IFERROR(IF(E4=" "," ",IF($E4&lt;=$C$16,SUM(T4-S4)*$C$14/IF(DAY(DATE(MID(T4,7,4),3,0))=29,366,365),SUM(T4-S4)*$C$15/IF(DAY(DATE(MID(T4,7,4),3,0))=29,366,365))),"")</f>
        <v/>
      </c>
      <c r="W4" s="6" t="str">
        <f t="shared" ref="W4:W67" si="8">IFERROR(IF(E4=" "," ",IF($E4&lt;=$C$16,SUM(U4-T4)*$C$14/IF(DAY(DATE(MID(U4,7,4),3,0))=29,366,365),SUM(U4-T4)*$C$15/IF(DAY(DATE(MID(U4,7,4),3,0))=29,366,365))),"")</f>
        <v/>
      </c>
      <c r="X4" s="22" t="str">
        <f t="shared" ref="X4:X67" si="9">IFERROR(TRUNC(V4*M4,2),"")</f>
        <v/>
      </c>
      <c r="Y4" s="22" t="str">
        <f t="shared" ref="Y4:Y67" si="10">IFERROR(TRUNC(W4*M4,2),"")</f>
        <v/>
      </c>
      <c r="Z4" s="22"/>
      <c r="AA4" s="1">
        <v>1</v>
      </c>
      <c r="AB4" s="1">
        <v>1</v>
      </c>
      <c r="AC4" s="1" t="s">
        <v>38</v>
      </c>
      <c r="AD4" s="2">
        <v>43794</v>
      </c>
      <c r="AE4" s="2">
        <v>43781</v>
      </c>
      <c r="AF4" s="36">
        <v>165.73</v>
      </c>
      <c r="AG4" s="36">
        <v>112.86</v>
      </c>
      <c r="AH4" s="36">
        <v>52.87</v>
      </c>
      <c r="AI4" s="36">
        <v>11</v>
      </c>
      <c r="AK4" s="34" t="e">
        <f>+AF4-P4</f>
        <v>#VALUE!</v>
      </c>
      <c r="AL4" s="34" t="e">
        <f>AG4-O4</f>
        <v>#VALUE!</v>
      </c>
      <c r="AM4" s="34" t="e">
        <f>+N4-AH4</f>
        <v>#VALUE!</v>
      </c>
      <c r="AN4" s="34">
        <f>+Q4-AI4</f>
        <v>0</v>
      </c>
    </row>
    <row r="5" spans="2:40" x14ac:dyDescent="0.25">
      <c r="B5" s="37" t="s">
        <v>0</v>
      </c>
      <c r="C5" s="38"/>
      <c r="E5" s="25">
        <f t="shared" ref="E5:E68" si="11">IFERROR(IF($E4&lt;$C$17,E4+1," "),"")</f>
        <v>2</v>
      </c>
      <c r="F5" s="26" t="str">
        <f t="shared" ref="F5:F68" si="12">IFERROR(TEXT(IF($E5&lt;=$C$17,EDATE($F$4,E5 - 1)," "),"DD/MM/YYYY"),"")</f>
        <v/>
      </c>
      <c r="G5" s="27" t="str">
        <f t="shared" ref="G5:G68" si="13">IFERROR(IF(E5=" "," ",F5-F4),"")</f>
        <v/>
      </c>
      <c r="H5" s="28" t="str">
        <f t="shared" si="0"/>
        <v/>
      </c>
      <c r="I5" s="3" t="str">
        <f t="shared" ref="I5:I68" si="14">IFERROR(IF(E5=" "," ",ROUND(I4+H5+(I4*H5),6)),"")</f>
        <v/>
      </c>
      <c r="J5" s="3" t="str">
        <f t="shared" si="1"/>
        <v xml:space="preserve"> </v>
      </c>
      <c r="K5" s="3" t="str">
        <f t="shared" ref="K5:K68" si="15">IFERROR(IF($C$18=" "," ",K4+J5),"")</f>
        <v/>
      </c>
      <c r="L5" s="30" t="str">
        <f t="shared" si="2"/>
        <v/>
      </c>
      <c r="M5" s="29" t="str">
        <f t="shared" ref="M5:M68" si="16">IFERROR(IF(IF($M4&gt;0,($M4-$O4)," ")&lt;=0,"",IF($M4&gt;0,($M4-$O4)," ")),"")</f>
        <v/>
      </c>
      <c r="N5" s="29" t="str">
        <f t="shared" ref="N5:N68" si="17">IFERROR(IF(AND(R4="N",R5="Y"),SUM(X5:Y5),IF(AND(R4="Y",R5="N"),SUM(X5:Y5),TRUNC((M5+(0*(-1)))*(H5)+(0*(-1)),2))),"")</f>
        <v/>
      </c>
      <c r="O5" s="29" t="str">
        <f t="shared" si="3"/>
        <v/>
      </c>
      <c r="P5" s="29" t="str">
        <f t="shared" si="4"/>
        <v/>
      </c>
      <c r="Q5" s="29" t="str">
        <f t="shared" si="5"/>
        <v/>
      </c>
      <c r="R5" s="23" t="str">
        <f t="shared" si="6"/>
        <v/>
      </c>
      <c r="S5" s="5" t="str">
        <f t="shared" ref="S5:S68" si="18">TEXT(IF(AND(R4="N",R5="Y"),EDATE($F$4,E5-2),IF(AND(R4="Y",R5="N"),EDATE($F$4,E5-2),"")),"DD/MM/YYYY")</f>
        <v/>
      </c>
      <c r="T5" s="5" t="str">
        <f t="shared" ref="T5:T68" si="19">TEXT(IFERROR(DATE(YEAR(S5),12,31),""),"DD/MM/YYYY")</f>
        <v/>
      </c>
      <c r="U5" s="5" t="str">
        <f t="shared" ref="U5:U68" si="20">TEXT(IFERROR(EDATE($S5,1),""),"DD/MM/YYYY")</f>
        <v/>
      </c>
      <c r="V5" s="4" t="str">
        <f t="shared" si="7"/>
        <v/>
      </c>
      <c r="W5" s="6" t="str">
        <f t="shared" si="8"/>
        <v/>
      </c>
      <c r="X5" s="22" t="str">
        <f t="shared" si="9"/>
        <v/>
      </c>
      <c r="Y5" s="22" t="str">
        <f t="shared" si="10"/>
        <v/>
      </c>
      <c r="Z5" s="22"/>
      <c r="AA5" s="1">
        <v>2</v>
      </c>
      <c r="AB5" s="1">
        <v>1</v>
      </c>
      <c r="AC5" s="1" t="s">
        <v>38</v>
      </c>
      <c r="AD5" s="2">
        <v>43824</v>
      </c>
      <c r="AE5" s="2">
        <v>43781</v>
      </c>
      <c r="AF5" s="36">
        <v>165.73</v>
      </c>
      <c r="AG5" s="36">
        <v>46.23</v>
      </c>
      <c r="AH5" s="36">
        <v>119.5</v>
      </c>
      <c r="AI5" s="36">
        <v>10.77</v>
      </c>
      <c r="AK5" s="34" t="e">
        <f t="shared" ref="AK5:AK63" si="21">+AF5-P5</f>
        <v>#VALUE!</v>
      </c>
      <c r="AL5" s="34" t="e">
        <f t="shared" ref="AL5:AL63" si="22">AG5-O5</f>
        <v>#VALUE!</v>
      </c>
      <c r="AM5" s="34" t="e">
        <f t="shared" ref="AM5:AM63" si="23">+N5-AH5</f>
        <v>#VALUE!</v>
      </c>
      <c r="AN5" s="34" t="e">
        <f t="shared" ref="AN5:AN63" si="24">+Q5-AI5</f>
        <v>#VALUE!</v>
      </c>
    </row>
    <row r="6" spans="2:40" x14ac:dyDescent="0.25">
      <c r="E6" s="25">
        <f t="shared" si="11"/>
        <v>3</v>
      </c>
      <c r="F6" s="26" t="str">
        <f t="shared" si="12"/>
        <v/>
      </c>
      <c r="G6" s="27" t="str">
        <f t="shared" si="13"/>
        <v/>
      </c>
      <c r="H6" s="28" t="str">
        <f t="shared" si="0"/>
        <v/>
      </c>
      <c r="I6" s="3" t="str">
        <f t="shared" si="14"/>
        <v/>
      </c>
      <c r="J6" s="3" t="str">
        <f t="shared" si="1"/>
        <v xml:space="preserve"> </v>
      </c>
      <c r="K6" s="3" t="str">
        <f t="shared" si="15"/>
        <v/>
      </c>
      <c r="L6" s="30" t="str">
        <f t="shared" si="2"/>
        <v/>
      </c>
      <c r="M6" s="29" t="str">
        <f t="shared" si="16"/>
        <v/>
      </c>
      <c r="N6" s="29" t="str">
        <f t="shared" si="17"/>
        <v/>
      </c>
      <c r="O6" s="29" t="str">
        <f t="shared" si="3"/>
        <v/>
      </c>
      <c r="P6" s="29" t="str">
        <f t="shared" si="4"/>
        <v/>
      </c>
      <c r="Q6" s="29" t="str">
        <f t="shared" si="5"/>
        <v/>
      </c>
      <c r="R6" s="23" t="str">
        <f t="shared" si="6"/>
        <v/>
      </c>
      <c r="S6" s="5" t="str">
        <f t="shared" si="18"/>
        <v/>
      </c>
      <c r="T6" s="5" t="str">
        <f t="shared" si="19"/>
        <v/>
      </c>
      <c r="U6" s="5" t="str">
        <f t="shared" si="20"/>
        <v/>
      </c>
      <c r="V6" s="4" t="str">
        <f t="shared" si="7"/>
        <v/>
      </c>
      <c r="W6" s="6" t="str">
        <f t="shared" si="8"/>
        <v/>
      </c>
      <c r="X6" s="22" t="str">
        <f t="shared" si="9"/>
        <v/>
      </c>
      <c r="Y6" s="22" t="str">
        <f t="shared" si="10"/>
        <v/>
      </c>
      <c r="Z6" s="22"/>
      <c r="AA6" s="1">
        <v>3</v>
      </c>
      <c r="AB6" s="1">
        <v>1</v>
      </c>
      <c r="AC6" s="1" t="s">
        <v>38</v>
      </c>
      <c r="AD6" s="2">
        <v>43855</v>
      </c>
      <c r="AE6" s="2">
        <v>43781</v>
      </c>
      <c r="AF6" s="36">
        <v>165.73</v>
      </c>
      <c r="AG6" s="36">
        <v>43.57</v>
      </c>
      <c r="AH6" s="36">
        <v>122.16</v>
      </c>
      <c r="AI6" s="36">
        <v>10.68</v>
      </c>
      <c r="AK6" s="34" t="e">
        <f t="shared" si="21"/>
        <v>#VALUE!</v>
      </c>
      <c r="AL6" s="34" t="e">
        <f t="shared" si="22"/>
        <v>#VALUE!</v>
      </c>
      <c r="AM6" s="34" t="e">
        <f t="shared" si="23"/>
        <v>#VALUE!</v>
      </c>
      <c r="AN6" s="34" t="e">
        <f t="shared" si="24"/>
        <v>#VALUE!</v>
      </c>
    </row>
    <row r="7" spans="2:40" x14ac:dyDescent="0.25">
      <c r="B7" s="18" t="s">
        <v>16</v>
      </c>
      <c r="C7" s="17" t="s">
        <v>41</v>
      </c>
      <c r="E7" s="25">
        <f t="shared" si="11"/>
        <v>4</v>
      </c>
      <c r="F7" s="26" t="str">
        <f t="shared" si="12"/>
        <v/>
      </c>
      <c r="G7" s="27" t="str">
        <f t="shared" si="13"/>
        <v/>
      </c>
      <c r="H7" s="28" t="str">
        <f t="shared" si="0"/>
        <v/>
      </c>
      <c r="I7" s="3" t="str">
        <f t="shared" si="14"/>
        <v/>
      </c>
      <c r="J7" s="3" t="str">
        <f t="shared" si="1"/>
        <v xml:space="preserve"> </v>
      </c>
      <c r="K7" s="3" t="str">
        <f t="shared" si="15"/>
        <v/>
      </c>
      <c r="L7" s="30" t="str">
        <f t="shared" si="2"/>
        <v/>
      </c>
      <c r="M7" s="29" t="str">
        <f t="shared" si="16"/>
        <v/>
      </c>
      <c r="N7" s="29" t="str">
        <f t="shared" si="17"/>
        <v/>
      </c>
      <c r="O7" s="29" t="str">
        <f t="shared" si="3"/>
        <v/>
      </c>
      <c r="P7" s="29" t="str">
        <f t="shared" si="4"/>
        <v/>
      </c>
      <c r="Q7" s="29" t="str">
        <f t="shared" si="5"/>
        <v/>
      </c>
      <c r="R7" s="23" t="str">
        <f t="shared" si="6"/>
        <v/>
      </c>
      <c r="S7" s="5" t="str">
        <f t="shared" si="18"/>
        <v/>
      </c>
      <c r="T7" s="5" t="str">
        <f t="shared" si="19"/>
        <v/>
      </c>
      <c r="U7" s="5" t="str">
        <f t="shared" si="20"/>
        <v/>
      </c>
      <c r="V7" s="4" t="str">
        <f t="shared" si="7"/>
        <v/>
      </c>
      <c r="W7" s="6" t="str">
        <f t="shared" si="8"/>
        <v/>
      </c>
      <c r="X7" s="22" t="str">
        <f t="shared" si="9"/>
        <v/>
      </c>
      <c r="Y7" s="22" t="str">
        <f t="shared" si="10"/>
        <v/>
      </c>
      <c r="Z7" s="22"/>
      <c r="AA7" s="1">
        <v>4</v>
      </c>
      <c r="AB7" s="1">
        <v>1</v>
      </c>
      <c r="AC7" s="1" t="s">
        <v>38</v>
      </c>
      <c r="AD7" s="2">
        <v>43886</v>
      </c>
      <c r="AE7" s="2">
        <v>43781</v>
      </c>
      <c r="AF7" s="36">
        <v>165.73</v>
      </c>
      <c r="AG7" s="36">
        <v>44.63</v>
      </c>
      <c r="AH7" s="36">
        <v>121.1</v>
      </c>
      <c r="AI7" s="36">
        <v>10.59</v>
      </c>
      <c r="AK7" s="34" t="e">
        <f t="shared" si="21"/>
        <v>#VALUE!</v>
      </c>
      <c r="AL7" s="34" t="e">
        <f t="shared" si="22"/>
        <v>#VALUE!</v>
      </c>
      <c r="AM7" s="34" t="e">
        <f t="shared" si="23"/>
        <v>#VALUE!</v>
      </c>
      <c r="AN7" s="34" t="e">
        <f t="shared" si="24"/>
        <v>#VALUE!</v>
      </c>
    </row>
    <row r="8" spans="2:40" x14ac:dyDescent="0.25">
      <c r="E8" s="25">
        <f t="shared" si="11"/>
        <v>5</v>
      </c>
      <c r="F8" s="26" t="str">
        <f t="shared" si="12"/>
        <v/>
      </c>
      <c r="G8" s="27" t="str">
        <f t="shared" si="13"/>
        <v/>
      </c>
      <c r="H8" s="28" t="str">
        <f t="shared" si="0"/>
        <v/>
      </c>
      <c r="I8" s="3" t="str">
        <f t="shared" si="14"/>
        <v/>
      </c>
      <c r="J8" s="3" t="str">
        <f t="shared" si="1"/>
        <v xml:space="preserve"> </v>
      </c>
      <c r="K8" s="3" t="str">
        <f t="shared" si="15"/>
        <v/>
      </c>
      <c r="L8" s="30" t="str">
        <f t="shared" si="2"/>
        <v/>
      </c>
      <c r="M8" s="29" t="str">
        <f t="shared" si="16"/>
        <v/>
      </c>
      <c r="N8" s="29" t="str">
        <f t="shared" si="17"/>
        <v/>
      </c>
      <c r="O8" s="29" t="str">
        <f t="shared" si="3"/>
        <v/>
      </c>
      <c r="P8" s="29" t="str">
        <f t="shared" si="4"/>
        <v/>
      </c>
      <c r="Q8" s="29" t="str">
        <f t="shared" si="5"/>
        <v/>
      </c>
      <c r="R8" s="23" t="str">
        <f t="shared" si="6"/>
        <v/>
      </c>
      <c r="S8" s="5" t="str">
        <f t="shared" si="18"/>
        <v/>
      </c>
      <c r="T8" s="5" t="str">
        <f t="shared" si="19"/>
        <v/>
      </c>
      <c r="U8" s="5" t="str">
        <f t="shared" si="20"/>
        <v/>
      </c>
      <c r="V8" s="4" t="str">
        <f t="shared" si="7"/>
        <v/>
      </c>
      <c r="W8" s="6" t="str">
        <f t="shared" si="8"/>
        <v/>
      </c>
      <c r="X8" s="22" t="str">
        <f t="shared" si="9"/>
        <v/>
      </c>
      <c r="Y8" s="22" t="str">
        <f t="shared" si="10"/>
        <v/>
      </c>
      <c r="Z8" s="22"/>
      <c r="AA8" s="1">
        <v>5</v>
      </c>
      <c r="AB8" s="1">
        <v>1</v>
      </c>
      <c r="AC8" s="1" t="s">
        <v>38</v>
      </c>
      <c r="AD8" s="2">
        <v>43915</v>
      </c>
      <c r="AE8" s="2">
        <v>43781</v>
      </c>
      <c r="AF8" s="36">
        <v>165.73</v>
      </c>
      <c r="AG8" s="36">
        <v>53.4</v>
      </c>
      <c r="AH8" s="36">
        <v>112.33</v>
      </c>
      <c r="AI8" s="36">
        <v>10.5</v>
      </c>
      <c r="AK8" s="34" t="e">
        <f t="shared" si="21"/>
        <v>#VALUE!</v>
      </c>
      <c r="AL8" s="34" t="e">
        <f t="shared" si="22"/>
        <v>#VALUE!</v>
      </c>
      <c r="AM8" s="34" t="e">
        <f t="shared" si="23"/>
        <v>#VALUE!</v>
      </c>
      <c r="AN8" s="34" t="e">
        <f t="shared" si="24"/>
        <v>#VALUE!</v>
      </c>
    </row>
    <row r="9" spans="2:40" x14ac:dyDescent="0.25">
      <c r="B9" s="37" t="s">
        <v>15</v>
      </c>
      <c r="C9" s="38"/>
      <c r="E9" s="25">
        <f t="shared" si="11"/>
        <v>6</v>
      </c>
      <c r="F9" s="26" t="str">
        <f t="shared" si="12"/>
        <v/>
      </c>
      <c r="G9" s="27" t="str">
        <f t="shared" si="13"/>
        <v/>
      </c>
      <c r="H9" s="28" t="str">
        <f t="shared" si="0"/>
        <v/>
      </c>
      <c r="I9" s="3" t="str">
        <f t="shared" si="14"/>
        <v/>
      </c>
      <c r="J9" s="3" t="str">
        <f t="shared" si="1"/>
        <v xml:space="preserve"> </v>
      </c>
      <c r="K9" s="3" t="str">
        <f t="shared" si="15"/>
        <v/>
      </c>
      <c r="L9" s="30" t="str">
        <f t="shared" si="2"/>
        <v/>
      </c>
      <c r="M9" s="29" t="str">
        <f t="shared" si="16"/>
        <v/>
      </c>
      <c r="N9" s="29" t="str">
        <f t="shared" si="17"/>
        <v/>
      </c>
      <c r="O9" s="29" t="str">
        <f t="shared" si="3"/>
        <v/>
      </c>
      <c r="P9" s="29" t="str">
        <f t="shared" si="4"/>
        <v/>
      </c>
      <c r="Q9" s="29" t="str">
        <f t="shared" si="5"/>
        <v/>
      </c>
      <c r="R9" s="23" t="str">
        <f t="shared" si="6"/>
        <v/>
      </c>
      <c r="S9" s="5" t="str">
        <f t="shared" si="18"/>
        <v/>
      </c>
      <c r="T9" s="5" t="str">
        <f t="shared" si="19"/>
        <v/>
      </c>
      <c r="U9" s="5" t="str">
        <f t="shared" si="20"/>
        <v/>
      </c>
      <c r="V9" s="4" t="str">
        <f t="shared" si="7"/>
        <v/>
      </c>
      <c r="W9" s="6" t="str">
        <f t="shared" si="8"/>
        <v/>
      </c>
      <c r="X9" s="22" t="str">
        <f t="shared" si="9"/>
        <v/>
      </c>
      <c r="Y9" s="22" t="str">
        <f t="shared" si="10"/>
        <v/>
      </c>
      <c r="Z9" s="22"/>
      <c r="AA9" s="1">
        <v>6</v>
      </c>
      <c r="AB9" s="1">
        <v>1</v>
      </c>
      <c r="AC9" s="1" t="s">
        <v>38</v>
      </c>
      <c r="AD9" s="2">
        <v>43946</v>
      </c>
      <c r="AE9" s="2">
        <v>43781</v>
      </c>
      <c r="AF9" s="36">
        <v>165.73</v>
      </c>
      <c r="AG9" s="36">
        <v>46.88</v>
      </c>
      <c r="AH9" s="36">
        <v>118.85</v>
      </c>
      <c r="AI9" s="36">
        <v>10.39</v>
      </c>
      <c r="AK9" s="34" t="e">
        <f t="shared" si="21"/>
        <v>#VALUE!</v>
      </c>
      <c r="AL9" s="34" t="e">
        <f t="shared" si="22"/>
        <v>#VALUE!</v>
      </c>
      <c r="AM9" s="34" t="e">
        <f t="shared" si="23"/>
        <v>#VALUE!</v>
      </c>
      <c r="AN9" s="34" t="e">
        <f t="shared" si="24"/>
        <v>#VALUE!</v>
      </c>
    </row>
    <row r="10" spans="2:40" x14ac:dyDescent="0.25">
      <c r="E10" s="25">
        <f t="shared" si="11"/>
        <v>7</v>
      </c>
      <c r="F10" s="26" t="str">
        <f t="shared" si="12"/>
        <v/>
      </c>
      <c r="G10" s="27" t="str">
        <f t="shared" si="13"/>
        <v/>
      </c>
      <c r="H10" s="28" t="str">
        <f t="shared" si="0"/>
        <v/>
      </c>
      <c r="I10" s="3" t="str">
        <f t="shared" si="14"/>
        <v/>
      </c>
      <c r="J10" s="3" t="str">
        <f t="shared" si="1"/>
        <v xml:space="preserve"> </v>
      </c>
      <c r="K10" s="3" t="str">
        <f t="shared" si="15"/>
        <v/>
      </c>
      <c r="L10" s="30" t="str">
        <f t="shared" si="2"/>
        <v/>
      </c>
      <c r="M10" s="29" t="str">
        <f t="shared" si="16"/>
        <v/>
      </c>
      <c r="N10" s="29" t="str">
        <f t="shared" si="17"/>
        <v/>
      </c>
      <c r="O10" s="29" t="str">
        <f t="shared" si="3"/>
        <v/>
      </c>
      <c r="P10" s="29" t="str">
        <f t="shared" si="4"/>
        <v/>
      </c>
      <c r="Q10" s="29" t="str">
        <f t="shared" si="5"/>
        <v/>
      </c>
      <c r="R10" s="23" t="str">
        <f t="shared" si="6"/>
        <v/>
      </c>
      <c r="S10" s="5" t="str">
        <f t="shared" si="18"/>
        <v/>
      </c>
      <c r="T10" s="5" t="str">
        <f t="shared" si="19"/>
        <v/>
      </c>
      <c r="U10" s="5" t="str">
        <f t="shared" si="20"/>
        <v/>
      </c>
      <c r="V10" s="4" t="str">
        <f t="shared" si="7"/>
        <v/>
      </c>
      <c r="W10" s="6" t="str">
        <f t="shared" si="8"/>
        <v/>
      </c>
      <c r="X10" s="22" t="str">
        <f t="shared" si="9"/>
        <v/>
      </c>
      <c r="Y10" s="22" t="str">
        <f t="shared" si="10"/>
        <v/>
      </c>
      <c r="Z10" s="22"/>
      <c r="AA10" s="1">
        <v>7</v>
      </c>
      <c r="AB10" s="1">
        <v>1</v>
      </c>
      <c r="AC10" s="1" t="s">
        <v>38</v>
      </c>
      <c r="AD10" s="2">
        <v>43976</v>
      </c>
      <c r="AE10" s="2">
        <v>43781</v>
      </c>
      <c r="AF10" s="36">
        <v>165.73</v>
      </c>
      <c r="AG10" s="36">
        <v>51.75</v>
      </c>
      <c r="AH10" s="36">
        <v>113.98</v>
      </c>
      <c r="AI10" s="36">
        <v>10.3</v>
      </c>
      <c r="AK10" s="34" t="e">
        <f t="shared" si="21"/>
        <v>#VALUE!</v>
      </c>
      <c r="AL10" s="34" t="e">
        <f t="shared" si="22"/>
        <v>#VALUE!</v>
      </c>
      <c r="AM10" s="34" t="e">
        <f t="shared" si="23"/>
        <v>#VALUE!</v>
      </c>
      <c r="AN10" s="34" t="e">
        <f t="shared" si="24"/>
        <v>#VALUE!</v>
      </c>
    </row>
    <row r="11" spans="2:40" x14ac:dyDescent="0.25">
      <c r="B11" s="16" t="s">
        <v>14</v>
      </c>
      <c r="C11" s="15">
        <v>43781</v>
      </c>
      <c r="E11" s="25">
        <f t="shared" si="11"/>
        <v>8</v>
      </c>
      <c r="F11" s="26" t="str">
        <f t="shared" si="12"/>
        <v/>
      </c>
      <c r="G11" s="27" t="str">
        <f t="shared" si="13"/>
        <v/>
      </c>
      <c r="H11" s="28" t="str">
        <f t="shared" si="0"/>
        <v/>
      </c>
      <c r="I11" s="3" t="str">
        <f t="shared" si="14"/>
        <v/>
      </c>
      <c r="J11" s="3" t="str">
        <f t="shared" si="1"/>
        <v xml:space="preserve"> </v>
      </c>
      <c r="K11" s="3" t="str">
        <f t="shared" si="15"/>
        <v/>
      </c>
      <c r="L11" s="30" t="str">
        <f t="shared" si="2"/>
        <v/>
      </c>
      <c r="M11" s="29" t="str">
        <f t="shared" si="16"/>
        <v/>
      </c>
      <c r="N11" s="29" t="str">
        <f t="shared" si="17"/>
        <v/>
      </c>
      <c r="O11" s="29" t="str">
        <f t="shared" si="3"/>
        <v/>
      </c>
      <c r="P11" s="29" t="str">
        <f t="shared" si="4"/>
        <v/>
      </c>
      <c r="Q11" s="29" t="str">
        <f t="shared" si="5"/>
        <v/>
      </c>
      <c r="R11" s="23" t="str">
        <f t="shared" si="6"/>
        <v/>
      </c>
      <c r="S11" s="5" t="str">
        <f t="shared" si="18"/>
        <v/>
      </c>
      <c r="T11" s="5" t="str">
        <f t="shared" si="19"/>
        <v/>
      </c>
      <c r="U11" s="5" t="str">
        <f t="shared" si="20"/>
        <v/>
      </c>
      <c r="V11" s="4" t="str">
        <f t="shared" si="7"/>
        <v/>
      </c>
      <c r="W11" s="6" t="str">
        <f t="shared" si="8"/>
        <v/>
      </c>
      <c r="X11" s="22" t="str">
        <f t="shared" si="9"/>
        <v/>
      </c>
      <c r="Y11" s="22" t="str">
        <f t="shared" si="10"/>
        <v/>
      </c>
      <c r="Z11" s="22"/>
      <c r="AA11" s="1">
        <v>8</v>
      </c>
      <c r="AB11" s="1">
        <v>1</v>
      </c>
      <c r="AC11" s="1" t="s">
        <v>38</v>
      </c>
      <c r="AD11" s="2">
        <v>44007</v>
      </c>
      <c r="AE11" s="2">
        <v>43781</v>
      </c>
      <c r="AF11" s="36">
        <v>165.73</v>
      </c>
      <c r="AG11" s="36">
        <v>49.13</v>
      </c>
      <c r="AH11" s="36">
        <v>116.6</v>
      </c>
      <c r="AI11" s="36">
        <v>10.199999999999999</v>
      </c>
      <c r="AK11" s="34" t="e">
        <f t="shared" si="21"/>
        <v>#VALUE!</v>
      </c>
      <c r="AL11" s="34" t="e">
        <f t="shared" si="22"/>
        <v>#VALUE!</v>
      </c>
      <c r="AM11" s="34" t="e">
        <f t="shared" si="23"/>
        <v>#VALUE!</v>
      </c>
      <c r="AN11" s="34" t="e">
        <f t="shared" si="24"/>
        <v>#VALUE!</v>
      </c>
    </row>
    <row r="12" spans="2:40" x14ac:dyDescent="0.25">
      <c r="B12" s="11" t="s">
        <v>33</v>
      </c>
      <c r="C12" s="32" t="s">
        <v>36</v>
      </c>
      <c r="E12" s="25">
        <f t="shared" si="11"/>
        <v>9</v>
      </c>
      <c r="F12" s="26" t="str">
        <f t="shared" si="12"/>
        <v/>
      </c>
      <c r="G12" s="27" t="str">
        <f t="shared" si="13"/>
        <v/>
      </c>
      <c r="H12" s="28" t="str">
        <f t="shared" si="0"/>
        <v/>
      </c>
      <c r="I12" s="3" t="str">
        <f t="shared" si="14"/>
        <v/>
      </c>
      <c r="J12" s="3" t="str">
        <f t="shared" si="1"/>
        <v xml:space="preserve"> </v>
      </c>
      <c r="K12" s="3" t="str">
        <f t="shared" si="15"/>
        <v/>
      </c>
      <c r="L12" s="30" t="str">
        <f t="shared" si="2"/>
        <v/>
      </c>
      <c r="M12" s="29" t="str">
        <f t="shared" si="16"/>
        <v/>
      </c>
      <c r="N12" s="29" t="str">
        <f t="shared" si="17"/>
        <v/>
      </c>
      <c r="O12" s="29" t="str">
        <f t="shared" si="3"/>
        <v/>
      </c>
      <c r="P12" s="29" t="str">
        <f t="shared" si="4"/>
        <v/>
      </c>
      <c r="Q12" s="29" t="str">
        <f t="shared" si="5"/>
        <v/>
      </c>
      <c r="R12" s="23" t="str">
        <f t="shared" si="6"/>
        <v/>
      </c>
      <c r="S12" s="5" t="str">
        <f t="shared" si="18"/>
        <v/>
      </c>
      <c r="T12" s="5" t="str">
        <f t="shared" si="19"/>
        <v/>
      </c>
      <c r="U12" s="5" t="str">
        <f t="shared" si="20"/>
        <v/>
      </c>
      <c r="V12" s="4" t="str">
        <f t="shared" si="7"/>
        <v/>
      </c>
      <c r="W12" s="6" t="str">
        <f t="shared" si="8"/>
        <v/>
      </c>
      <c r="X12" s="22" t="str">
        <f t="shared" si="9"/>
        <v/>
      </c>
      <c r="Y12" s="22" t="str">
        <f t="shared" si="10"/>
        <v/>
      </c>
      <c r="Z12" s="22"/>
      <c r="AA12" s="1">
        <v>9</v>
      </c>
      <c r="AB12" s="1">
        <v>1</v>
      </c>
      <c r="AC12" s="1" t="s">
        <v>38</v>
      </c>
      <c r="AD12" s="2">
        <v>44037</v>
      </c>
      <c r="AE12" s="2">
        <v>43781</v>
      </c>
      <c r="AF12" s="36">
        <v>165.73</v>
      </c>
      <c r="AG12" s="36">
        <v>53.98</v>
      </c>
      <c r="AH12" s="36">
        <v>111.75</v>
      </c>
      <c r="AI12" s="36">
        <v>10.1</v>
      </c>
      <c r="AK12" s="34" t="e">
        <f t="shared" si="21"/>
        <v>#VALUE!</v>
      </c>
      <c r="AL12" s="34" t="e">
        <f t="shared" si="22"/>
        <v>#VALUE!</v>
      </c>
      <c r="AM12" s="34" t="e">
        <f t="shared" si="23"/>
        <v>#VALUE!</v>
      </c>
      <c r="AN12" s="34" t="e">
        <f t="shared" si="24"/>
        <v>#VALUE!</v>
      </c>
    </row>
    <row r="13" spans="2:40" x14ac:dyDescent="0.25">
      <c r="B13" s="11" t="s">
        <v>13</v>
      </c>
      <c r="C13" s="14">
        <v>5500</v>
      </c>
      <c r="E13" s="25">
        <f t="shared" si="11"/>
        <v>10</v>
      </c>
      <c r="F13" s="26" t="str">
        <f t="shared" si="12"/>
        <v/>
      </c>
      <c r="G13" s="27" t="str">
        <f t="shared" si="13"/>
        <v/>
      </c>
      <c r="H13" s="28" t="str">
        <f t="shared" si="0"/>
        <v/>
      </c>
      <c r="I13" s="3" t="str">
        <f t="shared" si="14"/>
        <v/>
      </c>
      <c r="J13" s="3" t="str">
        <f t="shared" si="1"/>
        <v xml:space="preserve"> </v>
      </c>
      <c r="K13" s="3" t="str">
        <f t="shared" si="15"/>
        <v/>
      </c>
      <c r="L13" s="30" t="str">
        <f t="shared" si="2"/>
        <v/>
      </c>
      <c r="M13" s="29" t="str">
        <f t="shared" si="16"/>
        <v/>
      </c>
      <c r="N13" s="29" t="str">
        <f t="shared" si="17"/>
        <v/>
      </c>
      <c r="O13" s="29" t="str">
        <f t="shared" si="3"/>
        <v/>
      </c>
      <c r="P13" s="29" t="str">
        <f t="shared" si="4"/>
        <v/>
      </c>
      <c r="Q13" s="29" t="str">
        <f t="shared" si="5"/>
        <v/>
      </c>
      <c r="R13" s="23" t="str">
        <f t="shared" si="6"/>
        <v/>
      </c>
      <c r="S13" s="5" t="str">
        <f t="shared" si="18"/>
        <v/>
      </c>
      <c r="T13" s="5" t="str">
        <f t="shared" si="19"/>
        <v/>
      </c>
      <c r="U13" s="5" t="str">
        <f t="shared" si="20"/>
        <v/>
      </c>
      <c r="V13" s="4" t="str">
        <f t="shared" si="7"/>
        <v/>
      </c>
      <c r="W13" s="6" t="str">
        <f t="shared" si="8"/>
        <v/>
      </c>
      <c r="X13" s="22" t="str">
        <f t="shared" si="9"/>
        <v/>
      </c>
      <c r="Y13" s="22" t="str">
        <f t="shared" si="10"/>
        <v/>
      </c>
      <c r="Z13" s="22"/>
      <c r="AA13" s="1">
        <v>10</v>
      </c>
      <c r="AB13" s="1">
        <v>1</v>
      </c>
      <c r="AC13" s="1" t="s">
        <v>38</v>
      </c>
      <c r="AD13" s="2">
        <v>44068</v>
      </c>
      <c r="AE13" s="2">
        <v>43781</v>
      </c>
      <c r="AF13" s="36">
        <v>165.73</v>
      </c>
      <c r="AG13" s="36">
        <v>51.49</v>
      </c>
      <c r="AH13" s="36">
        <v>114.24</v>
      </c>
      <c r="AI13" s="36">
        <v>9.99</v>
      </c>
      <c r="AK13" s="34" t="e">
        <f t="shared" si="21"/>
        <v>#VALUE!</v>
      </c>
      <c r="AL13" s="34" t="e">
        <f t="shared" si="22"/>
        <v>#VALUE!</v>
      </c>
      <c r="AM13" s="34" t="e">
        <f t="shared" si="23"/>
        <v>#VALUE!</v>
      </c>
      <c r="AN13" s="34" t="e">
        <f t="shared" si="24"/>
        <v>#VALUE!</v>
      </c>
    </row>
    <row r="14" spans="2:40" x14ac:dyDescent="0.25">
      <c r="B14" s="11" t="s">
        <v>12</v>
      </c>
      <c r="C14" s="13">
        <f>2.2492%*12</f>
        <v>0.26990400000000003</v>
      </c>
      <c r="E14" s="25">
        <f t="shared" si="11"/>
        <v>11</v>
      </c>
      <c r="F14" s="26" t="str">
        <f t="shared" si="12"/>
        <v/>
      </c>
      <c r="G14" s="27" t="str">
        <f t="shared" si="13"/>
        <v/>
      </c>
      <c r="H14" s="28" t="str">
        <f t="shared" si="0"/>
        <v/>
      </c>
      <c r="I14" s="3" t="str">
        <f t="shared" si="14"/>
        <v/>
      </c>
      <c r="J14" s="3" t="str">
        <f t="shared" si="1"/>
        <v xml:space="preserve"> </v>
      </c>
      <c r="K14" s="3" t="str">
        <f t="shared" si="15"/>
        <v/>
      </c>
      <c r="L14" s="30" t="str">
        <f t="shared" si="2"/>
        <v/>
      </c>
      <c r="M14" s="29" t="str">
        <f t="shared" si="16"/>
        <v/>
      </c>
      <c r="N14" s="29" t="str">
        <f t="shared" si="17"/>
        <v/>
      </c>
      <c r="O14" s="29" t="str">
        <f t="shared" si="3"/>
        <v/>
      </c>
      <c r="P14" s="29" t="str">
        <f t="shared" si="4"/>
        <v/>
      </c>
      <c r="Q14" s="29" t="str">
        <f t="shared" si="5"/>
        <v/>
      </c>
      <c r="R14" s="23" t="str">
        <f t="shared" si="6"/>
        <v/>
      </c>
      <c r="S14" s="5" t="str">
        <f t="shared" si="18"/>
        <v/>
      </c>
      <c r="T14" s="5" t="str">
        <f t="shared" si="19"/>
        <v/>
      </c>
      <c r="U14" s="5" t="str">
        <f t="shared" si="20"/>
        <v/>
      </c>
      <c r="V14" s="4" t="str">
        <f t="shared" si="7"/>
        <v/>
      </c>
      <c r="W14" s="6" t="str">
        <f t="shared" si="8"/>
        <v/>
      </c>
      <c r="X14" s="22" t="str">
        <f t="shared" si="9"/>
        <v/>
      </c>
      <c r="Y14" s="22" t="str">
        <f t="shared" si="10"/>
        <v/>
      </c>
      <c r="Z14" s="22"/>
      <c r="AA14" s="1">
        <v>11</v>
      </c>
      <c r="AB14" s="1">
        <v>1</v>
      </c>
      <c r="AC14" s="1" t="s">
        <v>38</v>
      </c>
      <c r="AD14" s="2">
        <v>44099</v>
      </c>
      <c r="AE14" s="2">
        <v>43781</v>
      </c>
      <c r="AF14" s="36">
        <v>165.73</v>
      </c>
      <c r="AG14" s="36">
        <v>52.66</v>
      </c>
      <c r="AH14" s="36">
        <v>113.07</v>
      </c>
      <c r="AI14" s="36">
        <v>9.89</v>
      </c>
      <c r="AK14" s="34" t="e">
        <f t="shared" si="21"/>
        <v>#VALUE!</v>
      </c>
      <c r="AL14" s="34" t="e">
        <f t="shared" si="22"/>
        <v>#VALUE!</v>
      </c>
      <c r="AM14" s="34" t="e">
        <f t="shared" si="23"/>
        <v>#VALUE!</v>
      </c>
      <c r="AN14" s="34" t="e">
        <f t="shared" si="24"/>
        <v>#VALUE!</v>
      </c>
    </row>
    <row r="15" spans="2:40" x14ac:dyDescent="0.25">
      <c r="B15" s="11" t="s">
        <v>11</v>
      </c>
      <c r="C15" s="13">
        <f>2.2492%*12</f>
        <v>0.26990400000000003</v>
      </c>
      <c r="E15" s="25">
        <f t="shared" si="11"/>
        <v>12</v>
      </c>
      <c r="F15" s="26" t="str">
        <f t="shared" si="12"/>
        <v/>
      </c>
      <c r="G15" s="27" t="str">
        <f t="shared" si="13"/>
        <v/>
      </c>
      <c r="H15" s="28" t="str">
        <f t="shared" si="0"/>
        <v/>
      </c>
      <c r="I15" s="3" t="str">
        <f t="shared" si="14"/>
        <v/>
      </c>
      <c r="J15" s="3" t="str">
        <f t="shared" si="1"/>
        <v xml:space="preserve"> </v>
      </c>
      <c r="K15" s="3" t="str">
        <f t="shared" si="15"/>
        <v/>
      </c>
      <c r="L15" s="30" t="str">
        <f t="shared" si="2"/>
        <v/>
      </c>
      <c r="M15" s="29" t="str">
        <f t="shared" si="16"/>
        <v/>
      </c>
      <c r="N15" s="29" t="str">
        <f t="shared" si="17"/>
        <v/>
      </c>
      <c r="O15" s="29" t="str">
        <f t="shared" si="3"/>
        <v/>
      </c>
      <c r="P15" s="29" t="str">
        <f t="shared" si="4"/>
        <v/>
      </c>
      <c r="Q15" s="29" t="str">
        <f t="shared" si="5"/>
        <v/>
      </c>
      <c r="R15" s="23" t="str">
        <f t="shared" si="6"/>
        <v/>
      </c>
      <c r="S15" s="5" t="str">
        <f t="shared" si="18"/>
        <v/>
      </c>
      <c r="T15" s="5" t="str">
        <f t="shared" si="19"/>
        <v/>
      </c>
      <c r="U15" s="5" t="str">
        <f t="shared" si="20"/>
        <v/>
      </c>
      <c r="V15" s="4" t="str">
        <f t="shared" si="7"/>
        <v/>
      </c>
      <c r="W15" s="6" t="str">
        <f t="shared" si="8"/>
        <v/>
      </c>
      <c r="X15" s="22" t="str">
        <f t="shared" si="9"/>
        <v/>
      </c>
      <c r="Y15" s="22" t="str">
        <f t="shared" si="10"/>
        <v/>
      </c>
      <c r="Z15" s="22"/>
      <c r="AA15" s="1">
        <v>12</v>
      </c>
      <c r="AB15" s="1">
        <v>1</v>
      </c>
      <c r="AC15" s="1" t="s">
        <v>38</v>
      </c>
      <c r="AD15" s="2">
        <v>44129</v>
      </c>
      <c r="AE15" s="2">
        <v>43781</v>
      </c>
      <c r="AF15" s="36">
        <v>165.73</v>
      </c>
      <c r="AG15" s="36">
        <v>57.48</v>
      </c>
      <c r="AH15" s="36">
        <v>108.25</v>
      </c>
      <c r="AI15" s="36">
        <v>9.7799999999999994</v>
      </c>
      <c r="AK15" s="34" t="e">
        <f t="shared" si="21"/>
        <v>#VALUE!</v>
      </c>
      <c r="AL15" s="34" t="e">
        <f t="shared" si="22"/>
        <v>#VALUE!</v>
      </c>
      <c r="AM15" s="34" t="e">
        <f t="shared" si="23"/>
        <v>#VALUE!</v>
      </c>
      <c r="AN15" s="34" t="e">
        <f t="shared" si="24"/>
        <v>#VALUE!</v>
      </c>
    </row>
    <row r="16" spans="2:40" x14ac:dyDescent="0.25">
      <c r="B16" s="11" t="s">
        <v>10</v>
      </c>
      <c r="C16" s="12">
        <v>60</v>
      </c>
      <c r="E16" s="25">
        <f t="shared" si="11"/>
        <v>13</v>
      </c>
      <c r="F16" s="26" t="str">
        <f t="shared" si="12"/>
        <v/>
      </c>
      <c r="G16" s="27" t="str">
        <f t="shared" si="13"/>
        <v/>
      </c>
      <c r="H16" s="28" t="str">
        <f t="shared" si="0"/>
        <v/>
      </c>
      <c r="I16" s="3" t="str">
        <f t="shared" si="14"/>
        <v/>
      </c>
      <c r="J16" s="3" t="str">
        <f t="shared" si="1"/>
        <v xml:space="preserve"> </v>
      </c>
      <c r="K16" s="3" t="str">
        <f t="shared" si="15"/>
        <v/>
      </c>
      <c r="L16" s="30" t="str">
        <f t="shared" si="2"/>
        <v/>
      </c>
      <c r="M16" s="29" t="str">
        <f t="shared" si="16"/>
        <v/>
      </c>
      <c r="N16" s="29" t="str">
        <f t="shared" si="17"/>
        <v/>
      </c>
      <c r="O16" s="29" t="str">
        <f t="shared" si="3"/>
        <v/>
      </c>
      <c r="P16" s="29" t="str">
        <f t="shared" si="4"/>
        <v/>
      </c>
      <c r="Q16" s="29" t="str">
        <f t="shared" si="5"/>
        <v/>
      </c>
      <c r="R16" s="23" t="str">
        <f t="shared" si="6"/>
        <v/>
      </c>
      <c r="S16" s="5" t="str">
        <f t="shared" si="18"/>
        <v/>
      </c>
      <c r="T16" s="5" t="str">
        <f t="shared" si="19"/>
        <v/>
      </c>
      <c r="U16" s="5" t="str">
        <f t="shared" si="20"/>
        <v/>
      </c>
      <c r="V16" s="4" t="str">
        <f t="shared" si="7"/>
        <v/>
      </c>
      <c r="W16" s="6" t="str">
        <f t="shared" si="8"/>
        <v/>
      </c>
      <c r="X16" s="22" t="str">
        <f t="shared" si="9"/>
        <v/>
      </c>
      <c r="Y16" s="22" t="str">
        <f t="shared" si="10"/>
        <v/>
      </c>
      <c r="Z16" s="22"/>
      <c r="AA16" s="1">
        <v>13</v>
      </c>
      <c r="AB16" s="1">
        <v>1</v>
      </c>
      <c r="AC16" s="1" t="s">
        <v>38</v>
      </c>
      <c r="AD16" s="2">
        <v>44160</v>
      </c>
      <c r="AE16" s="2">
        <v>43781</v>
      </c>
      <c r="AF16" s="36">
        <v>165.73</v>
      </c>
      <c r="AG16" s="36">
        <v>55.18</v>
      </c>
      <c r="AH16" s="36">
        <v>110.55</v>
      </c>
      <c r="AI16" s="36">
        <v>9.67</v>
      </c>
      <c r="AK16" s="34" t="e">
        <f t="shared" si="21"/>
        <v>#VALUE!</v>
      </c>
      <c r="AL16" s="34" t="e">
        <f t="shared" si="22"/>
        <v>#VALUE!</v>
      </c>
      <c r="AM16" s="34" t="e">
        <f t="shared" si="23"/>
        <v>#VALUE!</v>
      </c>
      <c r="AN16" s="34" t="e">
        <f t="shared" si="24"/>
        <v>#VALUE!</v>
      </c>
    </row>
    <row r="17" spans="2:40" x14ac:dyDescent="0.25">
      <c r="B17" s="11" t="s">
        <v>9</v>
      </c>
      <c r="C17" s="12">
        <v>60</v>
      </c>
      <c r="E17" s="25">
        <f t="shared" si="11"/>
        <v>14</v>
      </c>
      <c r="F17" s="26" t="str">
        <f t="shared" si="12"/>
        <v/>
      </c>
      <c r="G17" s="27" t="str">
        <f t="shared" si="13"/>
        <v/>
      </c>
      <c r="H17" s="28" t="str">
        <f t="shared" si="0"/>
        <v/>
      </c>
      <c r="I17" s="3" t="str">
        <f t="shared" si="14"/>
        <v/>
      </c>
      <c r="J17" s="3" t="str">
        <f t="shared" si="1"/>
        <v xml:space="preserve"> </v>
      </c>
      <c r="K17" s="3" t="str">
        <f t="shared" si="15"/>
        <v/>
      </c>
      <c r="L17" s="30" t="str">
        <f t="shared" si="2"/>
        <v/>
      </c>
      <c r="M17" s="29" t="str">
        <f t="shared" si="16"/>
        <v/>
      </c>
      <c r="N17" s="29" t="str">
        <f t="shared" si="17"/>
        <v/>
      </c>
      <c r="O17" s="29" t="str">
        <f t="shared" si="3"/>
        <v/>
      </c>
      <c r="P17" s="29" t="str">
        <f t="shared" si="4"/>
        <v/>
      </c>
      <c r="Q17" s="29" t="str">
        <f t="shared" si="5"/>
        <v/>
      </c>
      <c r="R17" s="23" t="str">
        <f t="shared" si="6"/>
        <v/>
      </c>
      <c r="S17" s="5" t="str">
        <f t="shared" si="18"/>
        <v/>
      </c>
      <c r="T17" s="5" t="str">
        <f t="shared" si="19"/>
        <v/>
      </c>
      <c r="U17" s="5" t="str">
        <f t="shared" si="20"/>
        <v/>
      </c>
      <c r="V17" s="4" t="str">
        <f t="shared" si="7"/>
        <v/>
      </c>
      <c r="W17" s="6" t="str">
        <f t="shared" si="8"/>
        <v/>
      </c>
      <c r="X17" s="22" t="str">
        <f t="shared" si="9"/>
        <v/>
      </c>
      <c r="Y17" s="22" t="str">
        <f t="shared" si="10"/>
        <v/>
      </c>
      <c r="Z17" s="22"/>
      <c r="AA17" s="1">
        <v>14</v>
      </c>
      <c r="AB17" s="1">
        <v>1</v>
      </c>
      <c r="AC17" s="1" t="s">
        <v>38</v>
      </c>
      <c r="AD17" s="2">
        <v>44190</v>
      </c>
      <c r="AE17" s="2">
        <v>43781</v>
      </c>
      <c r="AF17" s="36">
        <v>165.73</v>
      </c>
      <c r="AG17" s="36">
        <v>59.97</v>
      </c>
      <c r="AH17" s="36">
        <v>105.76</v>
      </c>
      <c r="AI17" s="36">
        <v>9.56</v>
      </c>
      <c r="AK17" s="34" t="e">
        <f t="shared" si="21"/>
        <v>#VALUE!</v>
      </c>
      <c r="AL17" s="34" t="e">
        <f t="shared" si="22"/>
        <v>#VALUE!</v>
      </c>
      <c r="AM17" s="34" t="e">
        <f t="shared" si="23"/>
        <v>#VALUE!</v>
      </c>
      <c r="AN17" s="34" t="e">
        <f t="shared" si="24"/>
        <v>#VALUE!</v>
      </c>
    </row>
    <row r="18" spans="2:40" x14ac:dyDescent="0.25">
      <c r="B18" s="11" t="s">
        <v>8</v>
      </c>
      <c r="C18" s="10">
        <v>43794</v>
      </c>
      <c r="E18" s="25">
        <f t="shared" si="11"/>
        <v>15</v>
      </c>
      <c r="F18" s="26" t="str">
        <f t="shared" si="12"/>
        <v/>
      </c>
      <c r="G18" s="27" t="str">
        <f t="shared" si="13"/>
        <v/>
      </c>
      <c r="H18" s="28" t="str">
        <f t="shared" si="0"/>
        <v/>
      </c>
      <c r="I18" s="3" t="str">
        <f t="shared" si="14"/>
        <v/>
      </c>
      <c r="J18" s="3" t="str">
        <f t="shared" si="1"/>
        <v xml:space="preserve"> </v>
      </c>
      <c r="K18" s="3" t="str">
        <f t="shared" si="15"/>
        <v/>
      </c>
      <c r="L18" s="30" t="str">
        <f t="shared" si="2"/>
        <v/>
      </c>
      <c r="M18" s="29" t="str">
        <f t="shared" si="16"/>
        <v/>
      </c>
      <c r="N18" s="29" t="str">
        <f t="shared" si="17"/>
        <v/>
      </c>
      <c r="O18" s="29" t="str">
        <f t="shared" si="3"/>
        <v/>
      </c>
      <c r="P18" s="29" t="str">
        <f t="shared" si="4"/>
        <v/>
      </c>
      <c r="Q18" s="29" t="str">
        <f t="shared" si="5"/>
        <v/>
      </c>
      <c r="R18" s="23" t="str">
        <f t="shared" si="6"/>
        <v/>
      </c>
      <c r="S18" s="5" t="str">
        <f t="shared" si="18"/>
        <v/>
      </c>
      <c r="T18" s="5" t="str">
        <f t="shared" si="19"/>
        <v/>
      </c>
      <c r="U18" s="5" t="str">
        <f t="shared" si="20"/>
        <v/>
      </c>
      <c r="V18" s="4" t="str">
        <f t="shared" si="7"/>
        <v/>
      </c>
      <c r="W18" s="6" t="str">
        <f t="shared" si="8"/>
        <v/>
      </c>
      <c r="X18" s="22" t="str">
        <f t="shared" si="9"/>
        <v/>
      </c>
      <c r="Y18" s="22" t="str">
        <f t="shared" si="10"/>
        <v/>
      </c>
      <c r="Z18" s="22"/>
      <c r="AA18" s="1">
        <v>15</v>
      </c>
      <c r="AB18" s="1">
        <v>1</v>
      </c>
      <c r="AC18" s="1" t="s">
        <v>38</v>
      </c>
      <c r="AD18" s="2">
        <v>44221</v>
      </c>
      <c r="AE18" s="2">
        <v>43781</v>
      </c>
      <c r="AF18" s="36">
        <v>165.73</v>
      </c>
      <c r="AG18" s="36">
        <v>57.58</v>
      </c>
      <c r="AH18" s="36">
        <v>108.15</v>
      </c>
      <c r="AI18" s="36">
        <v>9.44</v>
      </c>
      <c r="AK18" s="34" t="e">
        <f t="shared" si="21"/>
        <v>#VALUE!</v>
      </c>
      <c r="AL18" s="34" t="e">
        <f t="shared" si="22"/>
        <v>#VALUE!</v>
      </c>
      <c r="AM18" s="34" t="e">
        <f t="shared" si="23"/>
        <v>#VALUE!</v>
      </c>
      <c r="AN18" s="34" t="e">
        <f t="shared" si="24"/>
        <v>#VALUE!</v>
      </c>
    </row>
    <row r="19" spans="2:40" x14ac:dyDescent="0.25">
      <c r="B19" s="9" t="s">
        <v>7</v>
      </c>
      <c r="C19" s="8" t="str">
        <f>IFERROR(TRUNC(VLOOKUP($C$17,$E$4:$L$69,8),2),"")</f>
        <v/>
      </c>
      <c r="E19" s="25">
        <f t="shared" si="11"/>
        <v>16</v>
      </c>
      <c r="F19" s="26" t="str">
        <f t="shared" si="12"/>
        <v/>
      </c>
      <c r="G19" s="27" t="str">
        <f t="shared" si="13"/>
        <v/>
      </c>
      <c r="H19" s="28" t="str">
        <f t="shared" si="0"/>
        <v/>
      </c>
      <c r="I19" s="3" t="str">
        <f t="shared" si="14"/>
        <v/>
      </c>
      <c r="J19" s="3" t="str">
        <f t="shared" si="1"/>
        <v xml:space="preserve"> </v>
      </c>
      <c r="K19" s="3" t="str">
        <f t="shared" si="15"/>
        <v/>
      </c>
      <c r="L19" s="30" t="str">
        <f t="shared" si="2"/>
        <v/>
      </c>
      <c r="M19" s="29" t="str">
        <f t="shared" si="16"/>
        <v/>
      </c>
      <c r="N19" s="29" t="str">
        <f t="shared" si="17"/>
        <v/>
      </c>
      <c r="O19" s="29" t="str">
        <f t="shared" si="3"/>
        <v/>
      </c>
      <c r="P19" s="29" t="str">
        <f t="shared" si="4"/>
        <v/>
      </c>
      <c r="Q19" s="29" t="str">
        <f t="shared" si="5"/>
        <v/>
      </c>
      <c r="R19" s="23" t="str">
        <f t="shared" si="6"/>
        <v/>
      </c>
      <c r="S19" s="5" t="str">
        <f t="shared" si="18"/>
        <v/>
      </c>
      <c r="T19" s="5" t="str">
        <f t="shared" si="19"/>
        <v/>
      </c>
      <c r="U19" s="5" t="str">
        <f t="shared" si="20"/>
        <v/>
      </c>
      <c r="V19" s="4" t="str">
        <f t="shared" si="7"/>
        <v/>
      </c>
      <c r="W19" s="6" t="str">
        <f t="shared" si="8"/>
        <v/>
      </c>
      <c r="X19" s="22" t="str">
        <f t="shared" si="9"/>
        <v/>
      </c>
      <c r="Y19" s="22" t="str">
        <f t="shared" si="10"/>
        <v/>
      </c>
      <c r="Z19" s="22"/>
      <c r="AA19" s="1">
        <v>16</v>
      </c>
      <c r="AB19" s="1">
        <v>1</v>
      </c>
      <c r="AC19" s="1" t="s">
        <v>38</v>
      </c>
      <c r="AD19" s="2">
        <v>44252</v>
      </c>
      <c r="AE19" s="2">
        <v>43781</v>
      </c>
      <c r="AF19" s="36">
        <v>165.73</v>
      </c>
      <c r="AG19" s="36">
        <v>58.84</v>
      </c>
      <c r="AH19" s="36">
        <v>106.89</v>
      </c>
      <c r="AI19" s="36">
        <v>9.32</v>
      </c>
      <c r="AK19" s="34" t="e">
        <f t="shared" si="21"/>
        <v>#VALUE!</v>
      </c>
      <c r="AL19" s="34" t="e">
        <f t="shared" si="22"/>
        <v>#VALUE!</v>
      </c>
      <c r="AM19" s="34" t="e">
        <f t="shared" si="23"/>
        <v>#VALUE!</v>
      </c>
      <c r="AN19" s="34" t="e">
        <f t="shared" si="24"/>
        <v>#VALUE!</v>
      </c>
    </row>
    <row r="20" spans="2:40" x14ac:dyDescent="0.25">
      <c r="E20" s="25">
        <f t="shared" si="11"/>
        <v>17</v>
      </c>
      <c r="F20" s="26" t="str">
        <f t="shared" si="12"/>
        <v/>
      </c>
      <c r="G20" s="27" t="str">
        <f t="shared" si="13"/>
        <v/>
      </c>
      <c r="H20" s="28" t="str">
        <f t="shared" si="0"/>
        <v/>
      </c>
      <c r="I20" s="3" t="str">
        <f t="shared" si="14"/>
        <v/>
      </c>
      <c r="J20" s="3" t="str">
        <f t="shared" si="1"/>
        <v xml:space="preserve"> </v>
      </c>
      <c r="K20" s="3" t="str">
        <f t="shared" si="15"/>
        <v/>
      </c>
      <c r="L20" s="30" t="str">
        <f t="shared" si="2"/>
        <v/>
      </c>
      <c r="M20" s="29" t="str">
        <f t="shared" si="16"/>
        <v/>
      </c>
      <c r="N20" s="29" t="str">
        <f t="shared" si="17"/>
        <v/>
      </c>
      <c r="O20" s="29" t="str">
        <f t="shared" si="3"/>
        <v/>
      </c>
      <c r="P20" s="29" t="str">
        <f t="shared" si="4"/>
        <v/>
      </c>
      <c r="Q20" s="29" t="str">
        <f t="shared" si="5"/>
        <v/>
      </c>
      <c r="R20" s="23" t="str">
        <f t="shared" si="6"/>
        <v/>
      </c>
      <c r="S20" s="5" t="str">
        <f t="shared" si="18"/>
        <v/>
      </c>
      <c r="T20" s="5" t="str">
        <f t="shared" si="19"/>
        <v/>
      </c>
      <c r="U20" s="5" t="str">
        <f t="shared" si="20"/>
        <v/>
      </c>
      <c r="V20" s="4" t="str">
        <f t="shared" si="7"/>
        <v/>
      </c>
      <c r="W20" s="6" t="str">
        <f t="shared" si="8"/>
        <v/>
      </c>
      <c r="X20" s="22" t="str">
        <f t="shared" si="9"/>
        <v/>
      </c>
      <c r="Y20" s="22" t="str">
        <f t="shared" si="10"/>
        <v/>
      </c>
      <c r="Z20" s="22"/>
      <c r="AA20" s="1">
        <v>17</v>
      </c>
      <c r="AB20" s="1">
        <v>1</v>
      </c>
      <c r="AC20" s="1" t="s">
        <v>38</v>
      </c>
      <c r="AD20" s="2">
        <v>44280</v>
      </c>
      <c r="AE20" s="2">
        <v>43781</v>
      </c>
      <c r="AF20" s="36">
        <v>165.73</v>
      </c>
      <c r="AG20" s="36">
        <v>70.400000000000006</v>
      </c>
      <c r="AH20" s="36">
        <v>95.33</v>
      </c>
      <c r="AI20" s="36">
        <v>9.1999999999999993</v>
      </c>
      <c r="AK20" s="34" t="e">
        <f t="shared" si="21"/>
        <v>#VALUE!</v>
      </c>
      <c r="AL20" s="34" t="e">
        <f t="shared" si="22"/>
        <v>#VALUE!</v>
      </c>
      <c r="AM20" s="34" t="e">
        <f t="shared" si="23"/>
        <v>#VALUE!</v>
      </c>
      <c r="AN20" s="34" t="e">
        <f t="shared" si="24"/>
        <v>#VALUE!</v>
      </c>
    </row>
    <row r="21" spans="2:40" x14ac:dyDescent="0.25">
      <c r="E21" s="25">
        <f t="shared" si="11"/>
        <v>18</v>
      </c>
      <c r="F21" s="26" t="str">
        <f t="shared" si="12"/>
        <v/>
      </c>
      <c r="G21" s="27" t="str">
        <f t="shared" si="13"/>
        <v/>
      </c>
      <c r="H21" s="28" t="str">
        <f t="shared" si="0"/>
        <v/>
      </c>
      <c r="I21" s="3" t="str">
        <f t="shared" si="14"/>
        <v/>
      </c>
      <c r="J21" s="3" t="str">
        <f t="shared" si="1"/>
        <v xml:space="preserve"> </v>
      </c>
      <c r="K21" s="3" t="str">
        <f t="shared" si="15"/>
        <v/>
      </c>
      <c r="L21" s="30" t="str">
        <f t="shared" si="2"/>
        <v/>
      </c>
      <c r="M21" s="29" t="str">
        <f t="shared" si="16"/>
        <v/>
      </c>
      <c r="N21" s="29" t="str">
        <f t="shared" si="17"/>
        <v/>
      </c>
      <c r="O21" s="29" t="str">
        <f t="shared" si="3"/>
        <v/>
      </c>
      <c r="P21" s="29" t="str">
        <f t="shared" si="4"/>
        <v/>
      </c>
      <c r="Q21" s="29" t="str">
        <f t="shared" si="5"/>
        <v/>
      </c>
      <c r="R21" s="23" t="str">
        <f t="shared" si="6"/>
        <v/>
      </c>
      <c r="S21" s="5" t="str">
        <f t="shared" si="18"/>
        <v/>
      </c>
      <c r="T21" s="5" t="str">
        <f t="shared" si="19"/>
        <v/>
      </c>
      <c r="U21" s="5" t="str">
        <f t="shared" si="20"/>
        <v/>
      </c>
      <c r="V21" s="4" t="str">
        <f t="shared" si="7"/>
        <v/>
      </c>
      <c r="W21" s="6" t="str">
        <f t="shared" si="8"/>
        <v/>
      </c>
      <c r="X21" s="22" t="str">
        <f t="shared" si="9"/>
        <v/>
      </c>
      <c r="Y21" s="22" t="str">
        <f t="shared" si="10"/>
        <v/>
      </c>
      <c r="Z21" s="22"/>
      <c r="AA21" s="1">
        <v>18</v>
      </c>
      <c r="AB21" s="1">
        <v>1</v>
      </c>
      <c r="AC21" s="1" t="s">
        <v>38</v>
      </c>
      <c r="AD21" s="2">
        <v>44311</v>
      </c>
      <c r="AE21" s="2">
        <v>43781</v>
      </c>
      <c r="AF21" s="36">
        <v>165.73</v>
      </c>
      <c r="AG21" s="36">
        <v>61.8</v>
      </c>
      <c r="AH21" s="36">
        <v>103.93</v>
      </c>
      <c r="AI21" s="36">
        <v>9.06</v>
      </c>
      <c r="AK21" s="34" t="e">
        <f t="shared" si="21"/>
        <v>#VALUE!</v>
      </c>
      <c r="AL21" s="34" t="e">
        <f t="shared" si="22"/>
        <v>#VALUE!</v>
      </c>
      <c r="AM21" s="34" t="e">
        <f t="shared" si="23"/>
        <v>#VALUE!</v>
      </c>
      <c r="AN21" s="34" t="e">
        <f t="shared" si="24"/>
        <v>#VALUE!</v>
      </c>
    </row>
    <row r="22" spans="2:40" x14ac:dyDescent="0.25">
      <c r="E22" s="25">
        <f t="shared" si="11"/>
        <v>19</v>
      </c>
      <c r="F22" s="26" t="str">
        <f t="shared" si="12"/>
        <v/>
      </c>
      <c r="G22" s="27" t="str">
        <f t="shared" si="13"/>
        <v/>
      </c>
      <c r="H22" s="28" t="str">
        <f t="shared" si="0"/>
        <v/>
      </c>
      <c r="I22" s="3" t="str">
        <f t="shared" si="14"/>
        <v/>
      </c>
      <c r="J22" s="3" t="str">
        <f t="shared" si="1"/>
        <v xml:space="preserve"> </v>
      </c>
      <c r="K22" s="3" t="str">
        <f t="shared" si="15"/>
        <v/>
      </c>
      <c r="L22" s="30" t="str">
        <f t="shared" si="2"/>
        <v/>
      </c>
      <c r="M22" s="29" t="str">
        <f t="shared" si="16"/>
        <v/>
      </c>
      <c r="N22" s="29" t="str">
        <f t="shared" si="17"/>
        <v/>
      </c>
      <c r="O22" s="29" t="str">
        <f t="shared" si="3"/>
        <v/>
      </c>
      <c r="P22" s="29" t="str">
        <f t="shared" si="4"/>
        <v/>
      </c>
      <c r="Q22" s="29" t="str">
        <f t="shared" si="5"/>
        <v/>
      </c>
      <c r="R22" s="23" t="str">
        <f t="shared" si="6"/>
        <v/>
      </c>
      <c r="S22" s="5" t="str">
        <f t="shared" si="18"/>
        <v/>
      </c>
      <c r="T22" s="5" t="str">
        <f t="shared" si="19"/>
        <v/>
      </c>
      <c r="U22" s="5" t="str">
        <f t="shared" si="20"/>
        <v/>
      </c>
      <c r="V22" s="4" t="str">
        <f t="shared" si="7"/>
        <v/>
      </c>
      <c r="W22" s="6" t="str">
        <f t="shared" si="8"/>
        <v/>
      </c>
      <c r="X22" s="22" t="str">
        <f t="shared" si="9"/>
        <v/>
      </c>
      <c r="Y22" s="22" t="str">
        <f t="shared" si="10"/>
        <v/>
      </c>
      <c r="Z22" s="22"/>
      <c r="AA22" s="1">
        <v>19</v>
      </c>
      <c r="AB22" s="1">
        <v>1</v>
      </c>
      <c r="AC22" s="1" t="s">
        <v>38</v>
      </c>
      <c r="AD22" s="2">
        <v>44341</v>
      </c>
      <c r="AE22" s="2">
        <v>43781</v>
      </c>
      <c r="AF22" s="36">
        <v>165.73</v>
      </c>
      <c r="AG22" s="36">
        <v>66.53</v>
      </c>
      <c r="AH22" s="36">
        <v>99.2</v>
      </c>
      <c r="AI22" s="36">
        <v>8.94</v>
      </c>
      <c r="AK22" s="34" t="e">
        <f t="shared" si="21"/>
        <v>#VALUE!</v>
      </c>
      <c r="AL22" s="34" t="e">
        <f t="shared" si="22"/>
        <v>#VALUE!</v>
      </c>
      <c r="AM22" s="34" t="e">
        <f t="shared" si="23"/>
        <v>#VALUE!</v>
      </c>
      <c r="AN22" s="34" t="e">
        <f t="shared" si="24"/>
        <v>#VALUE!</v>
      </c>
    </row>
    <row r="23" spans="2:40" x14ac:dyDescent="0.25">
      <c r="E23" s="25">
        <f t="shared" si="11"/>
        <v>20</v>
      </c>
      <c r="F23" s="26" t="str">
        <f t="shared" si="12"/>
        <v/>
      </c>
      <c r="G23" s="27" t="str">
        <f t="shared" si="13"/>
        <v/>
      </c>
      <c r="H23" s="28" t="str">
        <f t="shared" si="0"/>
        <v/>
      </c>
      <c r="I23" s="3" t="str">
        <f t="shared" si="14"/>
        <v/>
      </c>
      <c r="J23" s="3" t="str">
        <f t="shared" si="1"/>
        <v xml:space="preserve"> </v>
      </c>
      <c r="K23" s="3" t="str">
        <f t="shared" si="15"/>
        <v/>
      </c>
      <c r="L23" s="30" t="str">
        <f t="shared" si="2"/>
        <v/>
      </c>
      <c r="M23" s="29" t="str">
        <f t="shared" si="16"/>
        <v/>
      </c>
      <c r="N23" s="29" t="str">
        <f t="shared" si="17"/>
        <v/>
      </c>
      <c r="O23" s="29" t="str">
        <f t="shared" si="3"/>
        <v/>
      </c>
      <c r="P23" s="29" t="str">
        <f t="shared" si="4"/>
        <v/>
      </c>
      <c r="Q23" s="29" t="str">
        <f t="shared" si="5"/>
        <v/>
      </c>
      <c r="R23" s="23" t="str">
        <f t="shared" si="6"/>
        <v/>
      </c>
      <c r="S23" s="5" t="str">
        <f t="shared" si="18"/>
        <v/>
      </c>
      <c r="T23" s="5" t="str">
        <f t="shared" si="19"/>
        <v/>
      </c>
      <c r="U23" s="5" t="str">
        <f t="shared" si="20"/>
        <v/>
      </c>
      <c r="V23" s="4" t="str">
        <f t="shared" si="7"/>
        <v/>
      </c>
      <c r="W23" s="6" t="str">
        <f t="shared" si="8"/>
        <v/>
      </c>
      <c r="X23" s="22" t="str">
        <f t="shared" si="9"/>
        <v/>
      </c>
      <c r="Y23" s="22" t="str">
        <f t="shared" si="10"/>
        <v/>
      </c>
      <c r="Z23" s="22"/>
      <c r="AA23" s="1">
        <v>20</v>
      </c>
      <c r="AB23" s="1">
        <v>1</v>
      </c>
      <c r="AC23" s="1" t="s">
        <v>38</v>
      </c>
      <c r="AD23" s="2">
        <v>44372</v>
      </c>
      <c r="AE23" s="2">
        <v>43781</v>
      </c>
      <c r="AF23" s="36">
        <v>165.73</v>
      </c>
      <c r="AG23" s="36">
        <v>64.739999999999995</v>
      </c>
      <c r="AH23" s="36">
        <v>100.99</v>
      </c>
      <c r="AI23" s="36">
        <v>8.81</v>
      </c>
      <c r="AK23" s="34" t="e">
        <f t="shared" si="21"/>
        <v>#VALUE!</v>
      </c>
      <c r="AL23" s="34" t="e">
        <f t="shared" si="22"/>
        <v>#VALUE!</v>
      </c>
      <c r="AM23" s="34" t="e">
        <f t="shared" si="23"/>
        <v>#VALUE!</v>
      </c>
      <c r="AN23" s="34" t="e">
        <f t="shared" si="24"/>
        <v>#VALUE!</v>
      </c>
    </row>
    <row r="24" spans="2:40" x14ac:dyDescent="0.25">
      <c r="E24" s="25">
        <f t="shared" si="11"/>
        <v>21</v>
      </c>
      <c r="F24" s="26" t="str">
        <f t="shared" si="12"/>
        <v/>
      </c>
      <c r="G24" s="27" t="str">
        <f t="shared" si="13"/>
        <v/>
      </c>
      <c r="H24" s="28" t="str">
        <f t="shared" si="0"/>
        <v/>
      </c>
      <c r="I24" s="7" t="str">
        <f t="shared" si="14"/>
        <v/>
      </c>
      <c r="J24" s="3" t="str">
        <f t="shared" si="1"/>
        <v xml:space="preserve"> </v>
      </c>
      <c r="K24" s="3" t="str">
        <f t="shared" si="15"/>
        <v/>
      </c>
      <c r="L24" s="30" t="str">
        <f t="shared" si="2"/>
        <v/>
      </c>
      <c r="M24" s="29" t="str">
        <f t="shared" si="16"/>
        <v/>
      </c>
      <c r="N24" s="29" t="str">
        <f t="shared" si="17"/>
        <v/>
      </c>
      <c r="O24" s="29" t="str">
        <f t="shared" si="3"/>
        <v/>
      </c>
      <c r="P24" s="29" t="str">
        <f t="shared" si="4"/>
        <v/>
      </c>
      <c r="Q24" s="29" t="str">
        <f t="shared" si="5"/>
        <v/>
      </c>
      <c r="R24" s="23" t="str">
        <f t="shared" si="6"/>
        <v/>
      </c>
      <c r="S24" s="5" t="str">
        <f t="shared" si="18"/>
        <v/>
      </c>
      <c r="T24" s="5" t="str">
        <f t="shared" si="19"/>
        <v/>
      </c>
      <c r="U24" s="5" t="str">
        <f t="shared" si="20"/>
        <v/>
      </c>
      <c r="V24" s="4" t="str">
        <f t="shared" si="7"/>
        <v/>
      </c>
      <c r="W24" s="6" t="str">
        <f t="shared" si="8"/>
        <v/>
      </c>
      <c r="X24" s="22" t="str">
        <f t="shared" si="9"/>
        <v/>
      </c>
      <c r="Y24" s="22" t="str">
        <f t="shared" si="10"/>
        <v/>
      </c>
      <c r="Z24" s="22"/>
      <c r="AA24" s="1">
        <v>21</v>
      </c>
      <c r="AB24" s="1">
        <v>1</v>
      </c>
      <c r="AC24" s="1" t="s">
        <v>38</v>
      </c>
      <c r="AD24" s="2">
        <v>44402</v>
      </c>
      <c r="AE24" s="2">
        <v>43781</v>
      </c>
      <c r="AF24" s="36">
        <v>165.73</v>
      </c>
      <c r="AG24" s="36">
        <v>69.44</v>
      </c>
      <c r="AH24" s="36">
        <v>96.29</v>
      </c>
      <c r="AI24" s="36">
        <v>8.68</v>
      </c>
      <c r="AK24" s="34" t="e">
        <f t="shared" si="21"/>
        <v>#VALUE!</v>
      </c>
      <c r="AL24" s="34" t="e">
        <f t="shared" si="22"/>
        <v>#VALUE!</v>
      </c>
      <c r="AM24" s="34" t="e">
        <f t="shared" si="23"/>
        <v>#VALUE!</v>
      </c>
      <c r="AN24" s="34" t="e">
        <f t="shared" si="24"/>
        <v>#VALUE!</v>
      </c>
    </row>
    <row r="25" spans="2:40" x14ac:dyDescent="0.25">
      <c r="E25" s="25">
        <f t="shared" si="11"/>
        <v>22</v>
      </c>
      <c r="F25" s="26" t="str">
        <f t="shared" si="12"/>
        <v/>
      </c>
      <c r="G25" s="27" t="str">
        <f t="shared" si="13"/>
        <v/>
      </c>
      <c r="H25" s="28" t="str">
        <f t="shared" si="0"/>
        <v/>
      </c>
      <c r="I25" s="3" t="str">
        <f t="shared" si="14"/>
        <v/>
      </c>
      <c r="J25" s="3" t="str">
        <f t="shared" si="1"/>
        <v xml:space="preserve"> </v>
      </c>
      <c r="K25" s="7" t="str">
        <f t="shared" si="15"/>
        <v/>
      </c>
      <c r="L25" s="30" t="str">
        <f t="shared" si="2"/>
        <v/>
      </c>
      <c r="M25" s="29" t="str">
        <f t="shared" si="16"/>
        <v/>
      </c>
      <c r="N25" s="29" t="str">
        <f t="shared" si="17"/>
        <v/>
      </c>
      <c r="O25" s="29" t="str">
        <f t="shared" si="3"/>
        <v/>
      </c>
      <c r="P25" s="29" t="str">
        <f t="shared" si="4"/>
        <v/>
      </c>
      <c r="Q25" s="29" t="str">
        <f t="shared" si="5"/>
        <v/>
      </c>
      <c r="R25" s="23" t="str">
        <f t="shared" si="6"/>
        <v/>
      </c>
      <c r="S25" s="5" t="str">
        <f t="shared" si="18"/>
        <v/>
      </c>
      <c r="T25" s="5" t="str">
        <f t="shared" si="19"/>
        <v/>
      </c>
      <c r="U25" s="5" t="str">
        <f t="shared" si="20"/>
        <v/>
      </c>
      <c r="V25" s="4" t="str">
        <f t="shared" si="7"/>
        <v/>
      </c>
      <c r="W25" s="6" t="str">
        <f t="shared" si="8"/>
        <v/>
      </c>
      <c r="X25" s="22" t="str">
        <f t="shared" si="9"/>
        <v/>
      </c>
      <c r="Y25" s="22" t="str">
        <f t="shared" si="10"/>
        <v/>
      </c>
      <c r="Z25" s="22"/>
      <c r="AA25" s="1">
        <v>22</v>
      </c>
      <c r="AB25" s="1">
        <v>1</v>
      </c>
      <c r="AC25" s="1" t="s">
        <v>38</v>
      </c>
      <c r="AD25" s="2">
        <v>44433</v>
      </c>
      <c r="AE25" s="2">
        <v>43781</v>
      </c>
      <c r="AF25" s="36">
        <v>165.73</v>
      </c>
      <c r="AG25" s="36">
        <v>67.819999999999993</v>
      </c>
      <c r="AH25" s="36">
        <v>97.91</v>
      </c>
      <c r="AI25" s="36">
        <v>8.5399999999999991</v>
      </c>
      <c r="AK25" s="34" t="e">
        <f t="shared" si="21"/>
        <v>#VALUE!</v>
      </c>
      <c r="AL25" s="34" t="e">
        <f t="shared" si="22"/>
        <v>#VALUE!</v>
      </c>
      <c r="AM25" s="34" t="e">
        <f t="shared" si="23"/>
        <v>#VALUE!</v>
      </c>
      <c r="AN25" s="34" t="e">
        <f t="shared" si="24"/>
        <v>#VALUE!</v>
      </c>
    </row>
    <row r="26" spans="2:40" x14ac:dyDescent="0.25">
      <c r="E26" s="25">
        <f t="shared" si="11"/>
        <v>23</v>
      </c>
      <c r="F26" s="26" t="str">
        <f t="shared" si="12"/>
        <v/>
      </c>
      <c r="G26" s="27" t="str">
        <f t="shared" si="13"/>
        <v/>
      </c>
      <c r="H26" s="28" t="str">
        <f t="shared" si="0"/>
        <v/>
      </c>
      <c r="I26" s="3" t="str">
        <f t="shared" si="14"/>
        <v/>
      </c>
      <c r="J26" s="3" t="str">
        <f t="shared" si="1"/>
        <v xml:space="preserve"> </v>
      </c>
      <c r="K26" s="3" t="str">
        <f t="shared" si="15"/>
        <v/>
      </c>
      <c r="L26" s="30" t="str">
        <f t="shared" si="2"/>
        <v/>
      </c>
      <c r="M26" s="29" t="str">
        <f t="shared" si="16"/>
        <v/>
      </c>
      <c r="N26" s="29" t="str">
        <f t="shared" si="17"/>
        <v/>
      </c>
      <c r="O26" s="29" t="str">
        <f t="shared" si="3"/>
        <v/>
      </c>
      <c r="P26" s="29" t="str">
        <f t="shared" si="4"/>
        <v/>
      </c>
      <c r="Q26" s="29" t="str">
        <f t="shared" si="5"/>
        <v/>
      </c>
      <c r="R26" s="23" t="str">
        <f t="shared" si="6"/>
        <v/>
      </c>
      <c r="S26" s="5" t="str">
        <f t="shared" si="18"/>
        <v/>
      </c>
      <c r="T26" s="5" t="str">
        <f t="shared" si="19"/>
        <v/>
      </c>
      <c r="U26" s="5" t="str">
        <f t="shared" si="20"/>
        <v/>
      </c>
      <c r="V26" s="4" t="str">
        <f t="shared" si="7"/>
        <v/>
      </c>
      <c r="W26" s="6" t="str">
        <f t="shared" si="8"/>
        <v/>
      </c>
      <c r="X26" s="22" t="str">
        <f t="shared" si="9"/>
        <v/>
      </c>
      <c r="Y26" s="22" t="str">
        <f t="shared" si="10"/>
        <v/>
      </c>
      <c r="Z26" s="22"/>
      <c r="AA26" s="1">
        <v>23</v>
      </c>
      <c r="AB26" s="1">
        <v>1</v>
      </c>
      <c r="AC26" s="1" t="s">
        <v>38</v>
      </c>
      <c r="AD26" s="2">
        <v>44464</v>
      </c>
      <c r="AE26" s="2">
        <v>43781</v>
      </c>
      <c r="AF26" s="36">
        <v>165.73</v>
      </c>
      <c r="AG26" s="36">
        <v>69.37</v>
      </c>
      <c r="AH26" s="36">
        <v>96.36</v>
      </c>
      <c r="AI26" s="36">
        <v>8.4</v>
      </c>
      <c r="AK26" s="34" t="e">
        <f t="shared" si="21"/>
        <v>#VALUE!</v>
      </c>
      <c r="AL26" s="34" t="e">
        <f t="shared" si="22"/>
        <v>#VALUE!</v>
      </c>
      <c r="AM26" s="34" t="e">
        <f t="shared" si="23"/>
        <v>#VALUE!</v>
      </c>
      <c r="AN26" s="34" t="e">
        <f t="shared" si="24"/>
        <v>#VALUE!</v>
      </c>
    </row>
    <row r="27" spans="2:40" x14ac:dyDescent="0.25">
      <c r="E27" s="25">
        <f t="shared" si="11"/>
        <v>24</v>
      </c>
      <c r="F27" s="26" t="str">
        <f t="shared" si="12"/>
        <v/>
      </c>
      <c r="G27" s="27" t="str">
        <f t="shared" si="13"/>
        <v/>
      </c>
      <c r="H27" s="28" t="str">
        <f t="shared" si="0"/>
        <v/>
      </c>
      <c r="I27" s="3" t="str">
        <f t="shared" si="14"/>
        <v/>
      </c>
      <c r="J27" s="7" t="str">
        <f t="shared" si="1"/>
        <v xml:space="preserve"> </v>
      </c>
      <c r="K27" s="3" t="str">
        <f t="shared" si="15"/>
        <v/>
      </c>
      <c r="L27" s="30" t="str">
        <f t="shared" si="2"/>
        <v/>
      </c>
      <c r="M27" s="29" t="str">
        <f t="shared" si="16"/>
        <v/>
      </c>
      <c r="N27" s="29" t="str">
        <f t="shared" si="17"/>
        <v/>
      </c>
      <c r="O27" s="29" t="str">
        <f t="shared" si="3"/>
        <v/>
      </c>
      <c r="P27" s="29" t="str">
        <f t="shared" si="4"/>
        <v/>
      </c>
      <c r="Q27" s="29" t="str">
        <f t="shared" si="5"/>
        <v/>
      </c>
      <c r="R27" s="23" t="str">
        <f t="shared" si="6"/>
        <v/>
      </c>
      <c r="S27" s="5" t="str">
        <f t="shared" si="18"/>
        <v/>
      </c>
      <c r="T27" s="5" t="str">
        <f t="shared" si="19"/>
        <v/>
      </c>
      <c r="U27" s="5" t="str">
        <f t="shared" si="20"/>
        <v/>
      </c>
      <c r="V27" s="4" t="str">
        <f t="shared" si="7"/>
        <v/>
      </c>
      <c r="W27" s="6" t="str">
        <f t="shared" si="8"/>
        <v/>
      </c>
      <c r="X27" s="22" t="str">
        <f t="shared" si="9"/>
        <v/>
      </c>
      <c r="Y27" s="22" t="str">
        <f t="shared" si="10"/>
        <v/>
      </c>
      <c r="Z27" s="22"/>
      <c r="AA27" s="1">
        <v>24</v>
      </c>
      <c r="AB27" s="1">
        <v>1</v>
      </c>
      <c r="AC27" s="1" t="s">
        <v>38</v>
      </c>
      <c r="AD27" s="2">
        <v>44494</v>
      </c>
      <c r="AE27" s="2">
        <v>43781</v>
      </c>
      <c r="AF27" s="36">
        <v>165.73</v>
      </c>
      <c r="AG27" s="36">
        <v>74.02</v>
      </c>
      <c r="AH27" s="36">
        <v>91.71</v>
      </c>
      <c r="AI27" s="36">
        <v>8.26</v>
      </c>
      <c r="AK27" s="34" t="e">
        <f t="shared" si="21"/>
        <v>#VALUE!</v>
      </c>
      <c r="AL27" s="34" t="e">
        <f t="shared" si="22"/>
        <v>#VALUE!</v>
      </c>
      <c r="AM27" s="34" t="e">
        <f t="shared" si="23"/>
        <v>#VALUE!</v>
      </c>
      <c r="AN27" s="34" t="e">
        <f t="shared" si="24"/>
        <v>#VALUE!</v>
      </c>
    </row>
    <row r="28" spans="2:40" x14ac:dyDescent="0.25">
      <c r="E28" s="25">
        <f t="shared" si="11"/>
        <v>25</v>
      </c>
      <c r="F28" s="26" t="str">
        <f t="shared" si="12"/>
        <v/>
      </c>
      <c r="G28" s="27" t="str">
        <f t="shared" si="13"/>
        <v/>
      </c>
      <c r="H28" s="28" t="str">
        <f t="shared" si="0"/>
        <v/>
      </c>
      <c r="I28" s="3" t="str">
        <f t="shared" si="14"/>
        <v/>
      </c>
      <c r="J28" s="3" t="str">
        <f t="shared" si="1"/>
        <v xml:space="preserve"> </v>
      </c>
      <c r="K28" s="3" t="str">
        <f t="shared" si="15"/>
        <v/>
      </c>
      <c r="L28" s="30" t="str">
        <f t="shared" si="2"/>
        <v/>
      </c>
      <c r="M28" s="29" t="str">
        <f t="shared" si="16"/>
        <v/>
      </c>
      <c r="N28" s="29" t="str">
        <f t="shared" si="17"/>
        <v/>
      </c>
      <c r="O28" s="29" t="str">
        <f t="shared" si="3"/>
        <v/>
      </c>
      <c r="P28" s="29" t="str">
        <f t="shared" si="4"/>
        <v/>
      </c>
      <c r="Q28" s="29" t="str">
        <f t="shared" si="5"/>
        <v/>
      </c>
      <c r="R28" s="23" t="str">
        <f t="shared" si="6"/>
        <v/>
      </c>
      <c r="S28" s="5" t="str">
        <f t="shared" si="18"/>
        <v/>
      </c>
      <c r="T28" s="5" t="str">
        <f t="shared" si="19"/>
        <v/>
      </c>
      <c r="U28" s="5" t="str">
        <f t="shared" si="20"/>
        <v/>
      </c>
      <c r="V28" s="4" t="str">
        <f t="shared" si="7"/>
        <v/>
      </c>
      <c r="W28" s="6" t="str">
        <f t="shared" si="8"/>
        <v/>
      </c>
      <c r="X28" s="22" t="str">
        <f t="shared" si="9"/>
        <v/>
      </c>
      <c r="Y28" s="22" t="str">
        <f t="shared" si="10"/>
        <v/>
      </c>
      <c r="Z28" s="22"/>
      <c r="AA28" s="1">
        <v>25</v>
      </c>
      <c r="AB28" s="1">
        <v>1</v>
      </c>
      <c r="AC28" s="1" t="s">
        <v>38</v>
      </c>
      <c r="AD28" s="2">
        <v>44525</v>
      </c>
      <c r="AE28" s="2">
        <v>43781</v>
      </c>
      <c r="AF28" s="36">
        <v>165.73</v>
      </c>
      <c r="AG28" s="36">
        <v>72.66</v>
      </c>
      <c r="AH28" s="36">
        <v>93.07</v>
      </c>
      <c r="AI28" s="36">
        <v>8.1199999999999992</v>
      </c>
      <c r="AK28" s="34" t="e">
        <f t="shared" si="21"/>
        <v>#VALUE!</v>
      </c>
      <c r="AL28" s="34" t="e">
        <f t="shared" si="22"/>
        <v>#VALUE!</v>
      </c>
      <c r="AM28" s="34" t="e">
        <f t="shared" si="23"/>
        <v>#VALUE!</v>
      </c>
      <c r="AN28" s="34" t="e">
        <f t="shared" si="24"/>
        <v>#VALUE!</v>
      </c>
    </row>
    <row r="29" spans="2:40" x14ac:dyDescent="0.25">
      <c r="E29" s="25">
        <f t="shared" si="11"/>
        <v>26</v>
      </c>
      <c r="F29" s="26" t="str">
        <f t="shared" si="12"/>
        <v/>
      </c>
      <c r="G29" s="27" t="str">
        <f t="shared" si="13"/>
        <v/>
      </c>
      <c r="H29" s="28" t="str">
        <f t="shared" si="0"/>
        <v/>
      </c>
      <c r="I29" s="3" t="str">
        <f t="shared" si="14"/>
        <v/>
      </c>
      <c r="J29" s="3" t="str">
        <f t="shared" si="1"/>
        <v xml:space="preserve"> </v>
      </c>
      <c r="K29" s="3" t="str">
        <f t="shared" si="15"/>
        <v/>
      </c>
      <c r="L29" s="30" t="str">
        <f t="shared" si="2"/>
        <v/>
      </c>
      <c r="M29" s="29" t="str">
        <f t="shared" si="16"/>
        <v/>
      </c>
      <c r="N29" s="29" t="str">
        <f t="shared" si="17"/>
        <v/>
      </c>
      <c r="O29" s="29" t="str">
        <f t="shared" si="3"/>
        <v/>
      </c>
      <c r="P29" s="29" t="str">
        <f t="shared" si="4"/>
        <v/>
      </c>
      <c r="Q29" s="29" t="str">
        <f t="shared" si="5"/>
        <v/>
      </c>
      <c r="R29" s="23" t="str">
        <f t="shared" si="6"/>
        <v/>
      </c>
      <c r="S29" s="5" t="str">
        <f t="shared" si="18"/>
        <v/>
      </c>
      <c r="T29" s="5" t="str">
        <f t="shared" si="19"/>
        <v/>
      </c>
      <c r="U29" s="5" t="str">
        <f t="shared" si="20"/>
        <v/>
      </c>
      <c r="V29" s="4" t="str">
        <f t="shared" si="7"/>
        <v/>
      </c>
      <c r="W29" s="6" t="str">
        <f t="shared" si="8"/>
        <v/>
      </c>
      <c r="X29" s="22" t="str">
        <f t="shared" si="9"/>
        <v/>
      </c>
      <c r="Y29" s="22" t="str">
        <f t="shared" si="10"/>
        <v/>
      </c>
      <c r="Z29" s="22"/>
      <c r="AA29" s="1">
        <v>26</v>
      </c>
      <c r="AB29" s="1">
        <v>1</v>
      </c>
      <c r="AC29" s="1" t="s">
        <v>38</v>
      </c>
      <c r="AD29" s="2">
        <v>44555</v>
      </c>
      <c r="AE29" s="2">
        <v>43781</v>
      </c>
      <c r="AF29" s="36">
        <v>165.73</v>
      </c>
      <c r="AG29" s="36">
        <v>77.28</v>
      </c>
      <c r="AH29" s="36">
        <v>88.45</v>
      </c>
      <c r="AI29" s="36">
        <v>7.97</v>
      </c>
      <c r="AK29" s="34" t="e">
        <f t="shared" si="21"/>
        <v>#VALUE!</v>
      </c>
      <c r="AL29" s="34" t="e">
        <f t="shared" si="22"/>
        <v>#VALUE!</v>
      </c>
      <c r="AM29" s="34" t="e">
        <f t="shared" si="23"/>
        <v>#VALUE!</v>
      </c>
      <c r="AN29" s="34" t="e">
        <f t="shared" si="24"/>
        <v>#VALUE!</v>
      </c>
    </row>
    <row r="30" spans="2:40" x14ac:dyDescent="0.25">
      <c r="E30" s="25">
        <f t="shared" si="11"/>
        <v>27</v>
      </c>
      <c r="F30" s="26" t="str">
        <f t="shared" si="12"/>
        <v/>
      </c>
      <c r="G30" s="27" t="str">
        <f t="shared" si="13"/>
        <v/>
      </c>
      <c r="H30" s="28" t="str">
        <f t="shared" si="0"/>
        <v/>
      </c>
      <c r="I30" s="3" t="str">
        <f t="shared" si="14"/>
        <v/>
      </c>
      <c r="J30" s="3" t="str">
        <f t="shared" si="1"/>
        <v xml:space="preserve"> </v>
      </c>
      <c r="K30" s="3" t="str">
        <f t="shared" si="15"/>
        <v/>
      </c>
      <c r="L30" s="30" t="str">
        <f t="shared" si="2"/>
        <v/>
      </c>
      <c r="M30" s="29" t="str">
        <f t="shared" si="16"/>
        <v/>
      </c>
      <c r="N30" s="29" t="str">
        <f t="shared" si="17"/>
        <v/>
      </c>
      <c r="O30" s="29" t="str">
        <f t="shared" si="3"/>
        <v/>
      </c>
      <c r="P30" s="29" t="str">
        <f t="shared" si="4"/>
        <v/>
      </c>
      <c r="Q30" s="29" t="str">
        <f t="shared" si="5"/>
        <v/>
      </c>
      <c r="R30" s="23" t="str">
        <f t="shared" si="6"/>
        <v/>
      </c>
      <c r="S30" s="5" t="str">
        <f t="shared" si="18"/>
        <v/>
      </c>
      <c r="T30" s="5" t="str">
        <f t="shared" si="19"/>
        <v/>
      </c>
      <c r="U30" s="5" t="str">
        <f t="shared" si="20"/>
        <v/>
      </c>
      <c r="V30" s="4" t="str">
        <f t="shared" si="7"/>
        <v/>
      </c>
      <c r="W30" s="6" t="str">
        <f t="shared" si="8"/>
        <v/>
      </c>
      <c r="X30" s="22" t="str">
        <f t="shared" si="9"/>
        <v/>
      </c>
      <c r="Y30" s="22" t="str">
        <f t="shared" si="10"/>
        <v/>
      </c>
      <c r="Z30" s="22"/>
      <c r="AA30" s="1">
        <v>27</v>
      </c>
      <c r="AB30" s="1">
        <v>1</v>
      </c>
      <c r="AC30" s="1" t="s">
        <v>38</v>
      </c>
      <c r="AD30" s="2">
        <v>44586</v>
      </c>
      <c r="AE30" s="2">
        <v>43781</v>
      </c>
      <c r="AF30" s="36">
        <v>165.73</v>
      </c>
      <c r="AG30" s="36">
        <v>76.099999999999994</v>
      </c>
      <c r="AH30" s="36">
        <v>89.63</v>
      </c>
      <c r="AI30" s="36">
        <v>7.82</v>
      </c>
      <c r="AK30" s="34" t="e">
        <f t="shared" si="21"/>
        <v>#VALUE!</v>
      </c>
      <c r="AL30" s="34" t="e">
        <f t="shared" si="22"/>
        <v>#VALUE!</v>
      </c>
      <c r="AM30" s="34" t="e">
        <f t="shared" si="23"/>
        <v>#VALUE!</v>
      </c>
      <c r="AN30" s="34" t="e">
        <f t="shared" si="24"/>
        <v>#VALUE!</v>
      </c>
    </row>
    <row r="31" spans="2:40" x14ac:dyDescent="0.25">
      <c r="E31" s="25">
        <f t="shared" si="11"/>
        <v>28</v>
      </c>
      <c r="F31" s="26" t="str">
        <f t="shared" si="12"/>
        <v/>
      </c>
      <c r="G31" s="27" t="str">
        <f t="shared" si="13"/>
        <v/>
      </c>
      <c r="H31" s="28" t="str">
        <f t="shared" si="0"/>
        <v/>
      </c>
      <c r="I31" s="3" t="str">
        <f t="shared" si="14"/>
        <v/>
      </c>
      <c r="J31" s="3" t="str">
        <f t="shared" si="1"/>
        <v xml:space="preserve"> </v>
      </c>
      <c r="K31" s="3" t="str">
        <f t="shared" si="15"/>
        <v/>
      </c>
      <c r="L31" s="30" t="str">
        <f t="shared" si="2"/>
        <v/>
      </c>
      <c r="M31" s="29" t="str">
        <f t="shared" si="16"/>
        <v/>
      </c>
      <c r="N31" s="29" t="str">
        <f t="shared" si="17"/>
        <v/>
      </c>
      <c r="O31" s="29" t="str">
        <f t="shared" si="3"/>
        <v/>
      </c>
      <c r="P31" s="29" t="str">
        <f t="shared" si="4"/>
        <v/>
      </c>
      <c r="Q31" s="29" t="str">
        <f t="shared" si="5"/>
        <v/>
      </c>
      <c r="R31" s="23" t="str">
        <f t="shared" si="6"/>
        <v/>
      </c>
      <c r="S31" s="5" t="str">
        <f t="shared" si="18"/>
        <v/>
      </c>
      <c r="T31" s="5" t="str">
        <f t="shared" si="19"/>
        <v/>
      </c>
      <c r="U31" s="5" t="str">
        <f t="shared" si="20"/>
        <v/>
      </c>
      <c r="V31" s="4" t="str">
        <f t="shared" si="7"/>
        <v/>
      </c>
      <c r="W31" s="6" t="str">
        <f t="shared" si="8"/>
        <v/>
      </c>
      <c r="X31" s="22" t="str">
        <f t="shared" si="9"/>
        <v/>
      </c>
      <c r="Y31" s="22" t="str">
        <f t="shared" si="10"/>
        <v/>
      </c>
      <c r="Z31" s="22"/>
      <c r="AA31" s="1">
        <v>28</v>
      </c>
      <c r="AB31" s="1">
        <v>1</v>
      </c>
      <c r="AC31" s="1" t="s">
        <v>38</v>
      </c>
      <c r="AD31" s="2">
        <v>44617</v>
      </c>
      <c r="AE31" s="2">
        <v>43781</v>
      </c>
      <c r="AF31" s="36">
        <v>165.73</v>
      </c>
      <c r="AG31" s="36">
        <v>77.84</v>
      </c>
      <c r="AH31" s="36">
        <v>87.89</v>
      </c>
      <c r="AI31" s="36">
        <v>7.66</v>
      </c>
      <c r="AK31" s="34" t="e">
        <f t="shared" si="21"/>
        <v>#VALUE!</v>
      </c>
      <c r="AL31" s="34" t="e">
        <f t="shared" si="22"/>
        <v>#VALUE!</v>
      </c>
      <c r="AM31" s="34" t="e">
        <f t="shared" si="23"/>
        <v>#VALUE!</v>
      </c>
      <c r="AN31" s="34" t="e">
        <f t="shared" si="24"/>
        <v>#VALUE!</v>
      </c>
    </row>
    <row r="32" spans="2:40" x14ac:dyDescent="0.25">
      <c r="E32" s="25">
        <f t="shared" si="11"/>
        <v>29</v>
      </c>
      <c r="F32" s="26" t="str">
        <f t="shared" si="12"/>
        <v/>
      </c>
      <c r="G32" s="27" t="str">
        <f t="shared" si="13"/>
        <v/>
      </c>
      <c r="H32" s="28" t="str">
        <f t="shared" si="0"/>
        <v/>
      </c>
      <c r="I32" s="3" t="str">
        <f t="shared" si="14"/>
        <v/>
      </c>
      <c r="J32" s="3" t="str">
        <f t="shared" si="1"/>
        <v xml:space="preserve"> </v>
      </c>
      <c r="K32" s="3" t="str">
        <f t="shared" si="15"/>
        <v/>
      </c>
      <c r="L32" s="30" t="str">
        <f t="shared" si="2"/>
        <v/>
      </c>
      <c r="M32" s="29" t="str">
        <f t="shared" si="16"/>
        <v/>
      </c>
      <c r="N32" s="29" t="str">
        <f t="shared" si="17"/>
        <v/>
      </c>
      <c r="O32" s="29" t="str">
        <f t="shared" si="3"/>
        <v/>
      </c>
      <c r="P32" s="29" t="str">
        <f t="shared" si="4"/>
        <v/>
      </c>
      <c r="Q32" s="29" t="str">
        <f t="shared" si="5"/>
        <v/>
      </c>
      <c r="R32" s="23" t="str">
        <f t="shared" si="6"/>
        <v/>
      </c>
      <c r="S32" s="5" t="str">
        <f t="shared" si="18"/>
        <v/>
      </c>
      <c r="T32" s="5" t="str">
        <f t="shared" si="19"/>
        <v/>
      </c>
      <c r="U32" s="5" t="str">
        <f t="shared" si="20"/>
        <v/>
      </c>
      <c r="V32" s="4" t="str">
        <f t="shared" si="7"/>
        <v/>
      </c>
      <c r="W32" s="6" t="str">
        <f t="shared" si="8"/>
        <v/>
      </c>
      <c r="X32" s="22" t="str">
        <f t="shared" si="9"/>
        <v/>
      </c>
      <c r="Y32" s="22" t="str">
        <f t="shared" si="10"/>
        <v/>
      </c>
      <c r="Z32" s="22"/>
      <c r="AA32" s="1">
        <v>29</v>
      </c>
      <c r="AB32" s="1">
        <v>1</v>
      </c>
      <c r="AC32" s="1" t="s">
        <v>38</v>
      </c>
      <c r="AD32" s="2">
        <v>44645</v>
      </c>
      <c r="AE32" s="2">
        <v>43781</v>
      </c>
      <c r="AF32" s="36">
        <v>165.73</v>
      </c>
      <c r="AG32" s="36">
        <v>87.96</v>
      </c>
      <c r="AH32" s="36">
        <v>77.77</v>
      </c>
      <c r="AI32" s="36">
        <v>7.51</v>
      </c>
      <c r="AK32" s="34" t="e">
        <f t="shared" si="21"/>
        <v>#VALUE!</v>
      </c>
      <c r="AL32" s="34" t="e">
        <f t="shared" si="22"/>
        <v>#VALUE!</v>
      </c>
      <c r="AM32" s="34" t="e">
        <f t="shared" si="23"/>
        <v>#VALUE!</v>
      </c>
      <c r="AN32" s="34" t="e">
        <f t="shared" si="24"/>
        <v>#VALUE!</v>
      </c>
    </row>
    <row r="33" spans="5:40" x14ac:dyDescent="0.25">
      <c r="E33" s="25">
        <f t="shared" si="11"/>
        <v>30</v>
      </c>
      <c r="F33" s="26" t="str">
        <f t="shared" si="12"/>
        <v/>
      </c>
      <c r="G33" s="27" t="str">
        <f t="shared" si="13"/>
        <v/>
      </c>
      <c r="H33" s="28" t="str">
        <f t="shared" si="0"/>
        <v/>
      </c>
      <c r="I33" s="3" t="str">
        <f t="shared" si="14"/>
        <v/>
      </c>
      <c r="J33" s="3" t="str">
        <f t="shared" si="1"/>
        <v xml:space="preserve"> </v>
      </c>
      <c r="K33" s="3" t="str">
        <f t="shared" si="15"/>
        <v/>
      </c>
      <c r="L33" s="30" t="str">
        <f t="shared" si="2"/>
        <v/>
      </c>
      <c r="M33" s="29" t="str">
        <f t="shared" si="16"/>
        <v/>
      </c>
      <c r="N33" s="29" t="str">
        <f t="shared" si="17"/>
        <v/>
      </c>
      <c r="O33" s="29" t="str">
        <f t="shared" si="3"/>
        <v/>
      </c>
      <c r="P33" s="29" t="str">
        <f t="shared" si="4"/>
        <v/>
      </c>
      <c r="Q33" s="29" t="str">
        <f t="shared" si="5"/>
        <v/>
      </c>
      <c r="R33" s="23" t="str">
        <f t="shared" si="6"/>
        <v/>
      </c>
      <c r="S33" s="5" t="str">
        <f t="shared" si="18"/>
        <v/>
      </c>
      <c r="T33" s="5" t="str">
        <f t="shared" si="19"/>
        <v/>
      </c>
      <c r="U33" s="5" t="str">
        <f t="shared" si="20"/>
        <v/>
      </c>
      <c r="V33" s="4" t="str">
        <f t="shared" si="7"/>
        <v/>
      </c>
      <c r="W33" s="6" t="str">
        <f t="shared" si="8"/>
        <v/>
      </c>
      <c r="X33" s="22" t="str">
        <f t="shared" si="9"/>
        <v/>
      </c>
      <c r="Y33" s="22" t="str">
        <f t="shared" si="10"/>
        <v/>
      </c>
      <c r="Z33" s="22"/>
      <c r="AA33" s="1">
        <v>30</v>
      </c>
      <c r="AB33" s="1">
        <v>1</v>
      </c>
      <c r="AC33" s="1" t="s">
        <v>38</v>
      </c>
      <c r="AD33" s="2">
        <v>44676</v>
      </c>
      <c r="AE33" s="2">
        <v>43781</v>
      </c>
      <c r="AF33" s="36">
        <v>165.73</v>
      </c>
      <c r="AG33" s="36">
        <v>81.64</v>
      </c>
      <c r="AH33" s="36">
        <v>84.09</v>
      </c>
      <c r="AI33" s="36">
        <v>7.33</v>
      </c>
      <c r="AK33" s="34" t="e">
        <f t="shared" si="21"/>
        <v>#VALUE!</v>
      </c>
      <c r="AL33" s="34" t="e">
        <f t="shared" si="22"/>
        <v>#VALUE!</v>
      </c>
      <c r="AM33" s="34" t="e">
        <f t="shared" si="23"/>
        <v>#VALUE!</v>
      </c>
      <c r="AN33" s="34" t="e">
        <f t="shared" si="24"/>
        <v>#VALUE!</v>
      </c>
    </row>
    <row r="34" spans="5:40" x14ac:dyDescent="0.25">
      <c r="E34" s="25">
        <f t="shared" si="11"/>
        <v>31</v>
      </c>
      <c r="F34" s="26" t="str">
        <f t="shared" si="12"/>
        <v/>
      </c>
      <c r="G34" s="27" t="str">
        <f t="shared" si="13"/>
        <v/>
      </c>
      <c r="H34" s="28" t="str">
        <f t="shared" si="0"/>
        <v/>
      </c>
      <c r="I34" s="3" t="str">
        <f t="shared" si="14"/>
        <v/>
      </c>
      <c r="J34" s="3" t="str">
        <f t="shared" si="1"/>
        <v xml:space="preserve"> </v>
      </c>
      <c r="K34" s="3" t="str">
        <f t="shared" si="15"/>
        <v/>
      </c>
      <c r="L34" s="30" t="str">
        <f t="shared" si="2"/>
        <v/>
      </c>
      <c r="M34" s="29" t="str">
        <f t="shared" si="16"/>
        <v/>
      </c>
      <c r="N34" s="29" t="str">
        <f t="shared" si="17"/>
        <v/>
      </c>
      <c r="O34" s="29" t="str">
        <f t="shared" si="3"/>
        <v/>
      </c>
      <c r="P34" s="29" t="str">
        <f t="shared" si="4"/>
        <v/>
      </c>
      <c r="Q34" s="29" t="str">
        <f t="shared" si="5"/>
        <v/>
      </c>
      <c r="R34" s="23" t="str">
        <f t="shared" si="6"/>
        <v/>
      </c>
      <c r="S34" s="5" t="str">
        <f t="shared" si="18"/>
        <v/>
      </c>
      <c r="T34" s="5" t="str">
        <f t="shared" si="19"/>
        <v/>
      </c>
      <c r="U34" s="5" t="str">
        <f t="shared" si="20"/>
        <v/>
      </c>
      <c r="V34" s="4" t="str">
        <f t="shared" si="7"/>
        <v/>
      </c>
      <c r="W34" s="6" t="str">
        <f t="shared" si="8"/>
        <v/>
      </c>
      <c r="X34" s="22" t="str">
        <f t="shared" si="9"/>
        <v/>
      </c>
      <c r="Y34" s="22" t="str">
        <f t="shared" si="10"/>
        <v/>
      </c>
      <c r="Z34" s="22"/>
      <c r="AA34" s="1">
        <v>31</v>
      </c>
      <c r="AB34" s="1">
        <v>1</v>
      </c>
      <c r="AC34" s="1" t="s">
        <v>38</v>
      </c>
      <c r="AD34" s="2">
        <v>44706</v>
      </c>
      <c r="AE34" s="2">
        <v>43781</v>
      </c>
      <c r="AF34" s="36">
        <v>165.73</v>
      </c>
      <c r="AG34" s="36">
        <v>86.17</v>
      </c>
      <c r="AH34" s="36">
        <v>79.56</v>
      </c>
      <c r="AI34" s="36">
        <v>7.17</v>
      </c>
      <c r="AK34" s="34" t="e">
        <f t="shared" si="21"/>
        <v>#VALUE!</v>
      </c>
      <c r="AL34" s="34" t="e">
        <f t="shared" si="22"/>
        <v>#VALUE!</v>
      </c>
      <c r="AM34" s="34" t="e">
        <f t="shared" si="23"/>
        <v>#VALUE!</v>
      </c>
      <c r="AN34" s="34" t="e">
        <f t="shared" si="24"/>
        <v>#VALUE!</v>
      </c>
    </row>
    <row r="35" spans="5:40" x14ac:dyDescent="0.25">
      <c r="E35" s="25">
        <f t="shared" si="11"/>
        <v>32</v>
      </c>
      <c r="F35" s="26" t="str">
        <f t="shared" si="12"/>
        <v/>
      </c>
      <c r="G35" s="27" t="str">
        <f t="shared" si="13"/>
        <v/>
      </c>
      <c r="H35" s="28" t="str">
        <f t="shared" si="0"/>
        <v/>
      </c>
      <c r="I35" s="3" t="str">
        <f t="shared" si="14"/>
        <v/>
      </c>
      <c r="J35" s="3" t="str">
        <f t="shared" si="1"/>
        <v xml:space="preserve"> </v>
      </c>
      <c r="K35" s="3" t="str">
        <f t="shared" si="15"/>
        <v/>
      </c>
      <c r="L35" s="30" t="str">
        <f t="shared" si="2"/>
        <v/>
      </c>
      <c r="M35" s="29" t="str">
        <f t="shared" si="16"/>
        <v/>
      </c>
      <c r="N35" s="29" t="str">
        <f t="shared" si="17"/>
        <v/>
      </c>
      <c r="O35" s="29" t="str">
        <f t="shared" si="3"/>
        <v/>
      </c>
      <c r="P35" s="29" t="str">
        <f t="shared" si="4"/>
        <v/>
      </c>
      <c r="Q35" s="29" t="str">
        <f t="shared" si="5"/>
        <v/>
      </c>
      <c r="R35" s="23" t="str">
        <f t="shared" si="6"/>
        <v/>
      </c>
      <c r="S35" s="5" t="str">
        <f t="shared" si="18"/>
        <v/>
      </c>
      <c r="T35" s="5" t="str">
        <f t="shared" si="19"/>
        <v/>
      </c>
      <c r="U35" s="5" t="str">
        <f t="shared" si="20"/>
        <v/>
      </c>
      <c r="V35" s="4" t="str">
        <f t="shared" si="7"/>
        <v/>
      </c>
      <c r="W35" s="6" t="str">
        <f t="shared" si="8"/>
        <v/>
      </c>
      <c r="X35" s="22" t="str">
        <f t="shared" si="9"/>
        <v/>
      </c>
      <c r="Y35" s="22" t="str">
        <f t="shared" si="10"/>
        <v/>
      </c>
      <c r="Z35" s="22"/>
      <c r="AA35" s="1">
        <v>32</v>
      </c>
      <c r="AB35" s="1">
        <v>1</v>
      </c>
      <c r="AC35" s="1" t="s">
        <v>38</v>
      </c>
      <c r="AD35" s="2">
        <v>44737</v>
      </c>
      <c r="AE35" s="2">
        <v>43781</v>
      </c>
      <c r="AF35" s="36">
        <v>165.73</v>
      </c>
      <c r="AG35" s="36">
        <v>85.49</v>
      </c>
      <c r="AH35" s="36">
        <v>80.239999999999995</v>
      </c>
      <c r="AI35" s="36">
        <v>7</v>
      </c>
      <c r="AK35" s="34" t="e">
        <f t="shared" si="21"/>
        <v>#VALUE!</v>
      </c>
      <c r="AL35" s="34" t="e">
        <f t="shared" si="22"/>
        <v>#VALUE!</v>
      </c>
      <c r="AM35" s="34" t="e">
        <f t="shared" si="23"/>
        <v>#VALUE!</v>
      </c>
      <c r="AN35" s="34" t="e">
        <f t="shared" si="24"/>
        <v>#VALUE!</v>
      </c>
    </row>
    <row r="36" spans="5:40" x14ac:dyDescent="0.25">
      <c r="E36" s="25">
        <f t="shared" si="11"/>
        <v>33</v>
      </c>
      <c r="F36" s="26" t="str">
        <f t="shared" si="12"/>
        <v/>
      </c>
      <c r="G36" s="27" t="str">
        <f t="shared" si="13"/>
        <v/>
      </c>
      <c r="H36" s="28" t="str">
        <f t="shared" si="0"/>
        <v/>
      </c>
      <c r="I36" s="3" t="str">
        <f t="shared" si="14"/>
        <v/>
      </c>
      <c r="J36" s="3" t="str">
        <f t="shared" si="1"/>
        <v xml:space="preserve"> </v>
      </c>
      <c r="K36" s="3" t="str">
        <f t="shared" si="15"/>
        <v/>
      </c>
      <c r="L36" s="30" t="str">
        <f t="shared" si="2"/>
        <v/>
      </c>
      <c r="M36" s="29" t="str">
        <f t="shared" si="16"/>
        <v/>
      </c>
      <c r="N36" s="29" t="str">
        <f t="shared" si="17"/>
        <v/>
      </c>
      <c r="O36" s="29" t="str">
        <f t="shared" si="3"/>
        <v/>
      </c>
      <c r="P36" s="29" t="str">
        <f t="shared" si="4"/>
        <v/>
      </c>
      <c r="Q36" s="29" t="str">
        <f t="shared" si="5"/>
        <v/>
      </c>
      <c r="R36" s="23" t="str">
        <f t="shared" si="6"/>
        <v/>
      </c>
      <c r="S36" s="5" t="str">
        <f t="shared" si="18"/>
        <v/>
      </c>
      <c r="T36" s="5" t="str">
        <f t="shared" si="19"/>
        <v/>
      </c>
      <c r="U36" s="5" t="str">
        <f t="shared" si="20"/>
        <v/>
      </c>
      <c r="V36" s="4" t="str">
        <f t="shared" ref="V36:V69" si="25">IFERROR(IF(E36=" "," ",IF($E36&lt;=$C$16,SUM(T36-S36)*$C$14/IF(DAY(DATE(MID(T36,7,4),3,0))=29,366,365),SUM(T36-S36)*$C$15/IF(DAY(DATE(MID(T36,7,4),3,0))=29,366,365))),"")</f>
        <v/>
      </c>
      <c r="W36" s="6" t="str">
        <f t="shared" si="8"/>
        <v/>
      </c>
      <c r="X36" s="22" t="str">
        <f t="shared" si="9"/>
        <v/>
      </c>
      <c r="Y36" s="22" t="str">
        <f t="shared" si="10"/>
        <v/>
      </c>
      <c r="Z36" s="22"/>
      <c r="AA36" s="1">
        <v>33</v>
      </c>
      <c r="AB36" s="1">
        <v>1</v>
      </c>
      <c r="AC36" s="1" t="s">
        <v>38</v>
      </c>
      <c r="AD36" s="2">
        <v>44767</v>
      </c>
      <c r="AE36" s="2">
        <v>43781</v>
      </c>
      <c r="AF36" s="36">
        <v>165.73</v>
      </c>
      <c r="AG36" s="36">
        <v>89.97</v>
      </c>
      <c r="AH36" s="36">
        <v>75.760000000000005</v>
      </c>
      <c r="AI36" s="36">
        <v>6.83</v>
      </c>
      <c r="AK36" s="34" t="e">
        <f t="shared" si="21"/>
        <v>#VALUE!</v>
      </c>
      <c r="AL36" s="34" t="e">
        <f t="shared" si="22"/>
        <v>#VALUE!</v>
      </c>
      <c r="AM36" s="34" t="e">
        <f t="shared" si="23"/>
        <v>#VALUE!</v>
      </c>
      <c r="AN36" s="34" t="e">
        <f t="shared" si="24"/>
        <v>#VALUE!</v>
      </c>
    </row>
    <row r="37" spans="5:40" x14ac:dyDescent="0.25">
      <c r="E37" s="25">
        <f t="shared" si="11"/>
        <v>34</v>
      </c>
      <c r="F37" s="26" t="str">
        <f t="shared" si="12"/>
        <v/>
      </c>
      <c r="G37" s="27" t="str">
        <f t="shared" si="13"/>
        <v/>
      </c>
      <c r="H37" s="28" t="str">
        <f t="shared" si="0"/>
        <v/>
      </c>
      <c r="I37" s="3" t="str">
        <f t="shared" si="14"/>
        <v/>
      </c>
      <c r="J37" s="3" t="str">
        <f t="shared" si="1"/>
        <v xml:space="preserve"> </v>
      </c>
      <c r="K37" s="3" t="str">
        <f t="shared" si="15"/>
        <v/>
      </c>
      <c r="L37" s="30" t="str">
        <f t="shared" si="2"/>
        <v/>
      </c>
      <c r="M37" s="29" t="str">
        <f t="shared" si="16"/>
        <v/>
      </c>
      <c r="N37" s="29" t="str">
        <f t="shared" si="17"/>
        <v/>
      </c>
      <c r="O37" s="29" t="str">
        <f t="shared" si="3"/>
        <v/>
      </c>
      <c r="P37" s="29" t="str">
        <f t="shared" si="4"/>
        <v/>
      </c>
      <c r="Q37" s="29" t="str">
        <f t="shared" si="5"/>
        <v/>
      </c>
      <c r="R37" s="23" t="str">
        <f t="shared" si="6"/>
        <v/>
      </c>
      <c r="S37" s="5" t="str">
        <f t="shared" si="18"/>
        <v/>
      </c>
      <c r="T37" s="5" t="str">
        <f t="shared" si="19"/>
        <v/>
      </c>
      <c r="U37" s="5" t="str">
        <f t="shared" si="20"/>
        <v/>
      </c>
      <c r="V37" s="4" t="str">
        <f t="shared" si="25"/>
        <v/>
      </c>
      <c r="W37" s="6" t="str">
        <f t="shared" si="8"/>
        <v/>
      </c>
      <c r="X37" s="22" t="str">
        <f t="shared" si="9"/>
        <v/>
      </c>
      <c r="Y37" s="22" t="str">
        <f t="shared" si="10"/>
        <v/>
      </c>
      <c r="Z37" s="22"/>
      <c r="AA37" s="1">
        <v>34</v>
      </c>
      <c r="AB37" s="1">
        <v>1</v>
      </c>
      <c r="AC37" s="1" t="s">
        <v>38</v>
      </c>
      <c r="AD37" s="2">
        <v>44798</v>
      </c>
      <c r="AE37" s="2">
        <v>43781</v>
      </c>
      <c r="AF37" s="36">
        <v>165.73</v>
      </c>
      <c r="AG37" s="36">
        <v>89.51</v>
      </c>
      <c r="AH37" s="36">
        <v>76.22</v>
      </c>
      <c r="AI37" s="36">
        <v>6.65</v>
      </c>
      <c r="AK37" s="34" t="e">
        <f t="shared" si="21"/>
        <v>#VALUE!</v>
      </c>
      <c r="AL37" s="34" t="e">
        <f t="shared" si="22"/>
        <v>#VALUE!</v>
      </c>
      <c r="AM37" s="34" t="e">
        <f t="shared" si="23"/>
        <v>#VALUE!</v>
      </c>
      <c r="AN37" s="34" t="e">
        <f t="shared" si="24"/>
        <v>#VALUE!</v>
      </c>
    </row>
    <row r="38" spans="5:40" x14ac:dyDescent="0.25">
      <c r="E38" s="25">
        <f t="shared" si="11"/>
        <v>35</v>
      </c>
      <c r="F38" s="26" t="str">
        <f t="shared" si="12"/>
        <v/>
      </c>
      <c r="G38" s="27" t="str">
        <f t="shared" si="13"/>
        <v/>
      </c>
      <c r="H38" s="28" t="str">
        <f t="shared" si="0"/>
        <v/>
      </c>
      <c r="I38" s="3" t="str">
        <f t="shared" si="14"/>
        <v/>
      </c>
      <c r="J38" s="3" t="str">
        <f t="shared" si="1"/>
        <v xml:space="preserve"> </v>
      </c>
      <c r="K38" s="3" t="str">
        <f t="shared" si="15"/>
        <v/>
      </c>
      <c r="L38" s="30" t="str">
        <f t="shared" si="2"/>
        <v/>
      </c>
      <c r="M38" s="29" t="str">
        <f t="shared" si="16"/>
        <v/>
      </c>
      <c r="N38" s="29" t="str">
        <f t="shared" si="17"/>
        <v/>
      </c>
      <c r="O38" s="29" t="str">
        <f t="shared" si="3"/>
        <v/>
      </c>
      <c r="P38" s="29" t="str">
        <f t="shared" si="4"/>
        <v/>
      </c>
      <c r="Q38" s="29" t="str">
        <f t="shared" si="5"/>
        <v/>
      </c>
      <c r="R38" s="23" t="str">
        <f t="shared" si="6"/>
        <v/>
      </c>
      <c r="S38" s="5" t="str">
        <f t="shared" si="18"/>
        <v/>
      </c>
      <c r="T38" s="5" t="str">
        <f t="shared" si="19"/>
        <v/>
      </c>
      <c r="U38" s="5" t="str">
        <f t="shared" si="20"/>
        <v/>
      </c>
      <c r="V38" s="4" t="str">
        <f t="shared" si="25"/>
        <v/>
      </c>
      <c r="W38" s="6" t="str">
        <f t="shared" si="8"/>
        <v/>
      </c>
      <c r="X38" s="22" t="str">
        <f t="shared" si="9"/>
        <v/>
      </c>
      <c r="Y38" s="22" t="str">
        <f t="shared" si="10"/>
        <v/>
      </c>
      <c r="Z38" s="22"/>
      <c r="AA38" s="1">
        <v>35</v>
      </c>
      <c r="AB38" s="1">
        <v>1</v>
      </c>
      <c r="AC38" s="1" t="s">
        <v>38</v>
      </c>
      <c r="AD38" s="2">
        <v>44829</v>
      </c>
      <c r="AE38" s="2">
        <v>43781</v>
      </c>
      <c r="AF38" s="36">
        <v>165.73</v>
      </c>
      <c r="AG38" s="36">
        <v>91.56</v>
      </c>
      <c r="AH38" s="36">
        <v>74.17</v>
      </c>
      <c r="AI38" s="36">
        <v>6.47</v>
      </c>
      <c r="AK38" s="34" t="e">
        <f t="shared" si="21"/>
        <v>#VALUE!</v>
      </c>
      <c r="AL38" s="34" t="e">
        <f t="shared" si="22"/>
        <v>#VALUE!</v>
      </c>
      <c r="AM38" s="34" t="e">
        <f t="shared" si="23"/>
        <v>#VALUE!</v>
      </c>
      <c r="AN38" s="34" t="e">
        <f t="shared" si="24"/>
        <v>#VALUE!</v>
      </c>
    </row>
    <row r="39" spans="5:40" x14ac:dyDescent="0.25">
      <c r="E39" s="25">
        <f t="shared" si="11"/>
        <v>36</v>
      </c>
      <c r="F39" s="26" t="str">
        <f t="shared" si="12"/>
        <v/>
      </c>
      <c r="G39" s="27" t="str">
        <f t="shared" si="13"/>
        <v/>
      </c>
      <c r="H39" s="28" t="str">
        <f t="shared" si="0"/>
        <v/>
      </c>
      <c r="I39" s="3" t="str">
        <f t="shared" si="14"/>
        <v/>
      </c>
      <c r="J39" s="3" t="str">
        <f t="shared" si="1"/>
        <v xml:space="preserve"> </v>
      </c>
      <c r="K39" s="3" t="str">
        <f t="shared" si="15"/>
        <v/>
      </c>
      <c r="L39" s="30" t="str">
        <f t="shared" si="2"/>
        <v/>
      </c>
      <c r="M39" s="29" t="str">
        <f t="shared" si="16"/>
        <v/>
      </c>
      <c r="N39" s="29" t="str">
        <f t="shared" si="17"/>
        <v/>
      </c>
      <c r="O39" s="29" t="str">
        <f t="shared" si="3"/>
        <v/>
      </c>
      <c r="P39" s="29" t="str">
        <f t="shared" si="4"/>
        <v/>
      </c>
      <c r="Q39" s="29" t="str">
        <f t="shared" si="5"/>
        <v/>
      </c>
      <c r="R39" s="23" t="str">
        <f t="shared" si="6"/>
        <v/>
      </c>
      <c r="S39" s="5" t="str">
        <f t="shared" si="18"/>
        <v/>
      </c>
      <c r="T39" s="5" t="str">
        <f t="shared" si="19"/>
        <v/>
      </c>
      <c r="U39" s="5" t="str">
        <f t="shared" si="20"/>
        <v/>
      </c>
      <c r="V39" s="4" t="str">
        <f t="shared" si="25"/>
        <v/>
      </c>
      <c r="W39" s="6" t="str">
        <f t="shared" si="8"/>
        <v/>
      </c>
      <c r="X39" s="22" t="str">
        <f t="shared" si="9"/>
        <v/>
      </c>
      <c r="Y39" s="22" t="str">
        <f t="shared" si="10"/>
        <v/>
      </c>
      <c r="Z39" s="22"/>
      <c r="AA39" s="1">
        <v>36</v>
      </c>
      <c r="AB39" s="1">
        <v>1</v>
      </c>
      <c r="AC39" s="1" t="s">
        <v>38</v>
      </c>
      <c r="AD39" s="2">
        <v>44859</v>
      </c>
      <c r="AE39" s="2">
        <v>43781</v>
      </c>
      <c r="AF39" s="36">
        <v>165.73</v>
      </c>
      <c r="AG39" s="36">
        <v>95.99</v>
      </c>
      <c r="AH39" s="36">
        <v>69.739999999999995</v>
      </c>
      <c r="AI39" s="36">
        <v>6.28</v>
      </c>
      <c r="AK39" s="34" t="e">
        <f t="shared" si="21"/>
        <v>#VALUE!</v>
      </c>
      <c r="AL39" s="34" t="e">
        <f t="shared" si="22"/>
        <v>#VALUE!</v>
      </c>
      <c r="AM39" s="34" t="e">
        <f t="shared" si="23"/>
        <v>#VALUE!</v>
      </c>
      <c r="AN39" s="34" t="e">
        <f t="shared" si="24"/>
        <v>#VALUE!</v>
      </c>
    </row>
    <row r="40" spans="5:40" x14ac:dyDescent="0.25">
      <c r="E40" s="25">
        <f t="shared" si="11"/>
        <v>37</v>
      </c>
      <c r="F40" s="26" t="str">
        <f t="shared" si="12"/>
        <v/>
      </c>
      <c r="G40" s="27" t="str">
        <f t="shared" si="13"/>
        <v/>
      </c>
      <c r="H40" s="28" t="str">
        <f t="shared" si="0"/>
        <v/>
      </c>
      <c r="I40" s="3" t="str">
        <f t="shared" si="14"/>
        <v/>
      </c>
      <c r="J40" s="3" t="str">
        <f t="shared" si="1"/>
        <v xml:space="preserve"> </v>
      </c>
      <c r="K40" s="3" t="str">
        <f t="shared" si="15"/>
        <v/>
      </c>
      <c r="L40" s="30" t="str">
        <f t="shared" si="2"/>
        <v/>
      </c>
      <c r="M40" s="29" t="str">
        <f t="shared" si="16"/>
        <v/>
      </c>
      <c r="N40" s="29" t="str">
        <f t="shared" si="17"/>
        <v/>
      </c>
      <c r="O40" s="29" t="str">
        <f t="shared" si="3"/>
        <v/>
      </c>
      <c r="P40" s="29" t="str">
        <f t="shared" si="4"/>
        <v/>
      </c>
      <c r="Q40" s="29" t="str">
        <f t="shared" si="5"/>
        <v/>
      </c>
      <c r="R40" s="23" t="str">
        <f t="shared" si="6"/>
        <v/>
      </c>
      <c r="S40" s="5" t="str">
        <f t="shared" si="18"/>
        <v/>
      </c>
      <c r="T40" s="5" t="str">
        <f t="shared" si="19"/>
        <v/>
      </c>
      <c r="U40" s="5" t="str">
        <f t="shared" si="20"/>
        <v/>
      </c>
      <c r="V40" s="4" t="str">
        <f t="shared" si="25"/>
        <v/>
      </c>
      <c r="W40" s="6" t="str">
        <f t="shared" si="8"/>
        <v/>
      </c>
      <c r="X40" s="22" t="str">
        <f t="shared" si="9"/>
        <v/>
      </c>
      <c r="Y40" s="22" t="str">
        <f t="shared" si="10"/>
        <v/>
      </c>
      <c r="Z40" s="22"/>
      <c r="AA40" s="1">
        <v>37</v>
      </c>
      <c r="AB40" s="1">
        <v>1</v>
      </c>
      <c r="AC40" s="1" t="s">
        <v>38</v>
      </c>
      <c r="AD40" s="2">
        <v>44890</v>
      </c>
      <c r="AE40" s="2">
        <v>43781</v>
      </c>
      <c r="AF40" s="36">
        <v>165.73</v>
      </c>
      <c r="AG40" s="36">
        <v>95.86</v>
      </c>
      <c r="AH40" s="36">
        <v>69.87</v>
      </c>
      <c r="AI40" s="36">
        <v>6.09</v>
      </c>
      <c r="AK40" s="34" t="e">
        <f t="shared" si="21"/>
        <v>#VALUE!</v>
      </c>
      <c r="AL40" s="34" t="e">
        <f t="shared" si="22"/>
        <v>#VALUE!</v>
      </c>
      <c r="AM40" s="34" t="e">
        <f t="shared" si="23"/>
        <v>#VALUE!</v>
      </c>
      <c r="AN40" s="34" t="e">
        <f t="shared" si="24"/>
        <v>#VALUE!</v>
      </c>
    </row>
    <row r="41" spans="5:40" x14ac:dyDescent="0.25">
      <c r="E41" s="25">
        <f t="shared" si="11"/>
        <v>38</v>
      </c>
      <c r="F41" s="26" t="str">
        <f t="shared" si="12"/>
        <v/>
      </c>
      <c r="G41" s="27" t="str">
        <f t="shared" si="13"/>
        <v/>
      </c>
      <c r="H41" s="28" t="str">
        <f t="shared" si="0"/>
        <v/>
      </c>
      <c r="I41" s="3" t="str">
        <f t="shared" si="14"/>
        <v/>
      </c>
      <c r="J41" s="3" t="str">
        <f t="shared" si="1"/>
        <v xml:space="preserve"> </v>
      </c>
      <c r="K41" s="3" t="str">
        <f t="shared" si="15"/>
        <v/>
      </c>
      <c r="L41" s="30" t="str">
        <f t="shared" si="2"/>
        <v/>
      </c>
      <c r="M41" s="29" t="str">
        <f t="shared" si="16"/>
        <v/>
      </c>
      <c r="N41" s="29" t="str">
        <f t="shared" si="17"/>
        <v/>
      </c>
      <c r="O41" s="29" t="str">
        <f t="shared" si="3"/>
        <v/>
      </c>
      <c r="P41" s="29" t="str">
        <f t="shared" si="4"/>
        <v/>
      </c>
      <c r="Q41" s="29" t="str">
        <f t="shared" si="5"/>
        <v/>
      </c>
      <c r="R41" s="23" t="str">
        <f t="shared" si="6"/>
        <v/>
      </c>
      <c r="S41" s="5" t="str">
        <f t="shared" si="18"/>
        <v/>
      </c>
      <c r="T41" s="5" t="str">
        <f t="shared" si="19"/>
        <v/>
      </c>
      <c r="U41" s="5" t="str">
        <f t="shared" si="20"/>
        <v/>
      </c>
      <c r="V41" s="4" t="str">
        <f t="shared" si="25"/>
        <v/>
      </c>
      <c r="W41" s="6" t="str">
        <f t="shared" si="8"/>
        <v/>
      </c>
      <c r="X41" s="22" t="str">
        <f t="shared" si="9"/>
        <v/>
      </c>
      <c r="Y41" s="22" t="str">
        <f t="shared" si="10"/>
        <v/>
      </c>
      <c r="Z41" s="22"/>
      <c r="AA41" s="1">
        <v>38</v>
      </c>
      <c r="AB41" s="1">
        <v>1</v>
      </c>
      <c r="AC41" s="1" t="s">
        <v>38</v>
      </c>
      <c r="AD41" s="2">
        <v>44920</v>
      </c>
      <c r="AE41" s="2">
        <v>43781</v>
      </c>
      <c r="AF41" s="36">
        <v>165.73</v>
      </c>
      <c r="AG41" s="36">
        <v>100.24</v>
      </c>
      <c r="AH41" s="36">
        <v>65.489999999999995</v>
      </c>
      <c r="AI41" s="36">
        <v>5.9</v>
      </c>
      <c r="AK41" s="34" t="e">
        <f t="shared" si="21"/>
        <v>#VALUE!</v>
      </c>
      <c r="AL41" s="34" t="e">
        <f t="shared" si="22"/>
        <v>#VALUE!</v>
      </c>
      <c r="AM41" s="34" t="e">
        <f t="shared" si="23"/>
        <v>#VALUE!</v>
      </c>
      <c r="AN41" s="34" t="e">
        <f t="shared" si="24"/>
        <v>#VALUE!</v>
      </c>
    </row>
    <row r="42" spans="5:40" x14ac:dyDescent="0.25">
      <c r="E42" s="25">
        <f t="shared" si="11"/>
        <v>39</v>
      </c>
      <c r="F42" s="26" t="str">
        <f t="shared" si="12"/>
        <v/>
      </c>
      <c r="G42" s="27" t="str">
        <f t="shared" si="13"/>
        <v/>
      </c>
      <c r="H42" s="28" t="str">
        <f t="shared" si="0"/>
        <v/>
      </c>
      <c r="I42" s="3" t="str">
        <f t="shared" si="14"/>
        <v/>
      </c>
      <c r="J42" s="3" t="str">
        <f t="shared" si="1"/>
        <v xml:space="preserve"> </v>
      </c>
      <c r="K42" s="3" t="str">
        <f t="shared" si="15"/>
        <v/>
      </c>
      <c r="L42" s="30" t="str">
        <f t="shared" si="2"/>
        <v/>
      </c>
      <c r="M42" s="29" t="str">
        <f t="shared" si="16"/>
        <v/>
      </c>
      <c r="N42" s="29" t="str">
        <f t="shared" si="17"/>
        <v/>
      </c>
      <c r="O42" s="29" t="str">
        <f t="shared" si="3"/>
        <v/>
      </c>
      <c r="P42" s="29" t="str">
        <f t="shared" si="4"/>
        <v/>
      </c>
      <c r="Q42" s="29" t="str">
        <f t="shared" si="5"/>
        <v/>
      </c>
      <c r="R42" s="23" t="str">
        <f t="shared" si="6"/>
        <v/>
      </c>
      <c r="S42" s="5" t="str">
        <f t="shared" si="18"/>
        <v/>
      </c>
      <c r="T42" s="5" t="str">
        <f t="shared" si="19"/>
        <v/>
      </c>
      <c r="U42" s="5" t="str">
        <f t="shared" si="20"/>
        <v/>
      </c>
      <c r="V42" s="4" t="str">
        <f t="shared" si="25"/>
        <v/>
      </c>
      <c r="W42" s="6" t="str">
        <f t="shared" si="8"/>
        <v/>
      </c>
      <c r="X42" s="22" t="str">
        <f t="shared" si="9"/>
        <v/>
      </c>
      <c r="Y42" s="22" t="str">
        <f t="shared" si="10"/>
        <v/>
      </c>
      <c r="Z42" s="22"/>
      <c r="AA42" s="1">
        <v>39</v>
      </c>
      <c r="AB42" s="1">
        <v>1</v>
      </c>
      <c r="AC42" s="1" t="s">
        <v>38</v>
      </c>
      <c r="AD42" s="2">
        <v>44951</v>
      </c>
      <c r="AE42" s="2">
        <v>43781</v>
      </c>
      <c r="AF42" s="36">
        <v>165.73</v>
      </c>
      <c r="AG42" s="36">
        <v>100.36</v>
      </c>
      <c r="AH42" s="36">
        <v>65.37</v>
      </c>
      <c r="AI42" s="36">
        <v>5.7</v>
      </c>
      <c r="AK42" s="34" t="e">
        <f t="shared" si="21"/>
        <v>#VALUE!</v>
      </c>
      <c r="AL42" s="34" t="e">
        <f t="shared" si="22"/>
        <v>#VALUE!</v>
      </c>
      <c r="AM42" s="34" t="e">
        <f t="shared" si="23"/>
        <v>#VALUE!</v>
      </c>
      <c r="AN42" s="34" t="e">
        <f t="shared" si="24"/>
        <v>#VALUE!</v>
      </c>
    </row>
    <row r="43" spans="5:40" x14ac:dyDescent="0.25">
      <c r="E43" s="25">
        <f t="shared" si="11"/>
        <v>40</v>
      </c>
      <c r="F43" s="26" t="str">
        <f t="shared" si="12"/>
        <v/>
      </c>
      <c r="G43" s="27" t="str">
        <f t="shared" si="13"/>
        <v/>
      </c>
      <c r="H43" s="28" t="str">
        <f t="shared" si="0"/>
        <v/>
      </c>
      <c r="I43" s="3" t="str">
        <f t="shared" si="14"/>
        <v/>
      </c>
      <c r="J43" s="3" t="str">
        <f t="shared" si="1"/>
        <v xml:space="preserve"> </v>
      </c>
      <c r="K43" s="3" t="str">
        <f t="shared" si="15"/>
        <v/>
      </c>
      <c r="L43" s="30" t="str">
        <f t="shared" si="2"/>
        <v/>
      </c>
      <c r="M43" s="29" t="str">
        <f t="shared" si="16"/>
        <v/>
      </c>
      <c r="N43" s="29" t="str">
        <f t="shared" si="17"/>
        <v/>
      </c>
      <c r="O43" s="29" t="str">
        <f t="shared" si="3"/>
        <v/>
      </c>
      <c r="P43" s="29" t="str">
        <f t="shared" si="4"/>
        <v/>
      </c>
      <c r="Q43" s="29" t="str">
        <f t="shared" si="5"/>
        <v/>
      </c>
      <c r="R43" s="23" t="str">
        <f t="shared" si="6"/>
        <v/>
      </c>
      <c r="S43" s="5" t="str">
        <f t="shared" si="18"/>
        <v/>
      </c>
      <c r="T43" s="5" t="str">
        <f t="shared" si="19"/>
        <v/>
      </c>
      <c r="U43" s="5" t="str">
        <f t="shared" si="20"/>
        <v/>
      </c>
      <c r="V43" s="4" t="str">
        <f t="shared" si="25"/>
        <v/>
      </c>
      <c r="W43" s="6" t="str">
        <f t="shared" si="8"/>
        <v/>
      </c>
      <c r="X43" s="22" t="str">
        <f t="shared" si="9"/>
        <v/>
      </c>
      <c r="Y43" s="22" t="str">
        <f t="shared" si="10"/>
        <v/>
      </c>
      <c r="Z43" s="22"/>
      <c r="AA43" s="1">
        <v>40</v>
      </c>
      <c r="AB43" s="1">
        <v>1</v>
      </c>
      <c r="AC43" s="1" t="s">
        <v>38</v>
      </c>
      <c r="AD43" s="2">
        <v>44982</v>
      </c>
      <c r="AE43" s="2">
        <v>43781</v>
      </c>
      <c r="AF43" s="36">
        <v>165.73</v>
      </c>
      <c r="AG43" s="36">
        <v>102.66</v>
      </c>
      <c r="AH43" s="36">
        <v>63.07</v>
      </c>
      <c r="AI43" s="36">
        <v>5.5</v>
      </c>
      <c r="AK43" s="34" t="e">
        <f t="shared" si="21"/>
        <v>#VALUE!</v>
      </c>
      <c r="AL43" s="34" t="e">
        <f t="shared" si="22"/>
        <v>#VALUE!</v>
      </c>
      <c r="AM43" s="34" t="e">
        <f t="shared" si="23"/>
        <v>#VALUE!</v>
      </c>
      <c r="AN43" s="34" t="e">
        <f t="shared" si="24"/>
        <v>#VALUE!</v>
      </c>
    </row>
    <row r="44" spans="5:40" x14ac:dyDescent="0.25">
      <c r="E44" s="25">
        <f t="shared" si="11"/>
        <v>41</v>
      </c>
      <c r="F44" s="26" t="str">
        <f t="shared" si="12"/>
        <v/>
      </c>
      <c r="G44" s="27" t="str">
        <f t="shared" si="13"/>
        <v/>
      </c>
      <c r="H44" s="28" t="str">
        <f t="shared" si="0"/>
        <v/>
      </c>
      <c r="I44" s="3" t="str">
        <f t="shared" si="14"/>
        <v/>
      </c>
      <c r="J44" s="3" t="str">
        <f t="shared" si="1"/>
        <v xml:space="preserve"> </v>
      </c>
      <c r="K44" s="3" t="str">
        <f t="shared" si="15"/>
        <v/>
      </c>
      <c r="L44" s="30" t="str">
        <f t="shared" si="2"/>
        <v/>
      </c>
      <c r="M44" s="29" t="str">
        <f t="shared" si="16"/>
        <v/>
      </c>
      <c r="N44" s="29" t="str">
        <f t="shared" si="17"/>
        <v/>
      </c>
      <c r="O44" s="29" t="str">
        <f t="shared" si="3"/>
        <v/>
      </c>
      <c r="P44" s="29" t="str">
        <f t="shared" si="4"/>
        <v/>
      </c>
      <c r="Q44" s="29" t="str">
        <f t="shared" si="5"/>
        <v/>
      </c>
      <c r="R44" s="23" t="str">
        <f t="shared" si="6"/>
        <v/>
      </c>
      <c r="S44" s="5" t="str">
        <f t="shared" si="18"/>
        <v/>
      </c>
      <c r="T44" s="5" t="str">
        <f t="shared" si="19"/>
        <v/>
      </c>
      <c r="U44" s="5" t="str">
        <f t="shared" si="20"/>
        <v/>
      </c>
      <c r="V44" s="4" t="str">
        <f t="shared" si="25"/>
        <v/>
      </c>
      <c r="W44" s="6" t="str">
        <f t="shared" si="8"/>
        <v/>
      </c>
      <c r="X44" s="22" t="str">
        <f t="shared" si="9"/>
        <v/>
      </c>
      <c r="Y44" s="22" t="str">
        <f t="shared" si="10"/>
        <v/>
      </c>
      <c r="Z44" s="22"/>
      <c r="AA44" s="1">
        <v>41</v>
      </c>
      <c r="AB44" s="1">
        <v>1</v>
      </c>
      <c r="AC44" s="1" t="s">
        <v>38</v>
      </c>
      <c r="AD44" s="2">
        <v>45010</v>
      </c>
      <c r="AE44" s="2">
        <v>43781</v>
      </c>
      <c r="AF44" s="36">
        <v>165.73</v>
      </c>
      <c r="AG44" s="36">
        <v>110.89</v>
      </c>
      <c r="AH44" s="36">
        <v>54.84</v>
      </c>
      <c r="AI44" s="36">
        <v>5.29</v>
      </c>
      <c r="AK44" s="34" t="e">
        <f t="shared" si="21"/>
        <v>#VALUE!</v>
      </c>
      <c r="AL44" s="34" t="e">
        <f t="shared" si="22"/>
        <v>#VALUE!</v>
      </c>
      <c r="AM44" s="34" t="e">
        <f t="shared" si="23"/>
        <v>#VALUE!</v>
      </c>
      <c r="AN44" s="34" t="e">
        <f t="shared" si="24"/>
        <v>#VALUE!</v>
      </c>
    </row>
    <row r="45" spans="5:40" x14ac:dyDescent="0.25">
      <c r="E45" s="25">
        <f t="shared" si="11"/>
        <v>42</v>
      </c>
      <c r="F45" s="26" t="str">
        <f t="shared" si="12"/>
        <v/>
      </c>
      <c r="G45" s="27" t="str">
        <f t="shared" si="13"/>
        <v/>
      </c>
      <c r="H45" s="28" t="str">
        <f t="shared" si="0"/>
        <v/>
      </c>
      <c r="I45" s="3" t="str">
        <f t="shared" si="14"/>
        <v/>
      </c>
      <c r="J45" s="3" t="str">
        <f t="shared" si="1"/>
        <v xml:space="preserve"> </v>
      </c>
      <c r="K45" s="3" t="str">
        <f t="shared" si="15"/>
        <v/>
      </c>
      <c r="L45" s="30" t="str">
        <f t="shared" si="2"/>
        <v/>
      </c>
      <c r="M45" s="29" t="str">
        <f t="shared" si="16"/>
        <v/>
      </c>
      <c r="N45" s="29" t="str">
        <f t="shared" si="17"/>
        <v/>
      </c>
      <c r="O45" s="29" t="str">
        <f t="shared" si="3"/>
        <v/>
      </c>
      <c r="P45" s="29" t="str">
        <f t="shared" si="4"/>
        <v/>
      </c>
      <c r="Q45" s="29" t="str">
        <f t="shared" si="5"/>
        <v/>
      </c>
      <c r="R45" s="23" t="str">
        <f t="shared" si="6"/>
        <v/>
      </c>
      <c r="S45" s="5" t="str">
        <f t="shared" si="18"/>
        <v/>
      </c>
      <c r="T45" s="5" t="str">
        <f t="shared" si="19"/>
        <v/>
      </c>
      <c r="U45" s="5" t="str">
        <f t="shared" si="20"/>
        <v/>
      </c>
      <c r="V45" s="4" t="str">
        <f t="shared" si="25"/>
        <v/>
      </c>
      <c r="W45" s="6" t="str">
        <f t="shared" si="8"/>
        <v/>
      </c>
      <c r="X45" s="22" t="str">
        <f t="shared" si="9"/>
        <v/>
      </c>
      <c r="Y45" s="22" t="str">
        <f t="shared" si="10"/>
        <v/>
      </c>
      <c r="Z45" s="22"/>
      <c r="AA45" s="1">
        <v>42</v>
      </c>
      <c r="AB45" s="1">
        <v>1</v>
      </c>
      <c r="AC45" s="1" t="s">
        <v>38</v>
      </c>
      <c r="AD45" s="2">
        <v>45041</v>
      </c>
      <c r="AE45" s="2">
        <v>43781</v>
      </c>
      <c r="AF45" s="36">
        <v>165.73</v>
      </c>
      <c r="AG45" s="36">
        <v>107.55</v>
      </c>
      <c r="AH45" s="36">
        <v>58.18</v>
      </c>
      <c r="AI45" s="36">
        <v>5.07</v>
      </c>
      <c r="AK45" s="34" t="e">
        <f t="shared" si="21"/>
        <v>#VALUE!</v>
      </c>
      <c r="AL45" s="34" t="e">
        <f t="shared" si="22"/>
        <v>#VALUE!</v>
      </c>
      <c r="AM45" s="34" t="e">
        <f t="shared" si="23"/>
        <v>#VALUE!</v>
      </c>
      <c r="AN45" s="34" t="e">
        <f t="shared" si="24"/>
        <v>#VALUE!</v>
      </c>
    </row>
    <row r="46" spans="5:40" x14ac:dyDescent="0.25">
      <c r="E46" s="25">
        <f t="shared" si="11"/>
        <v>43</v>
      </c>
      <c r="F46" s="26" t="str">
        <f t="shared" si="12"/>
        <v/>
      </c>
      <c r="G46" s="27" t="str">
        <f t="shared" si="13"/>
        <v/>
      </c>
      <c r="H46" s="28" t="str">
        <f t="shared" si="0"/>
        <v/>
      </c>
      <c r="I46" s="3" t="str">
        <f t="shared" si="14"/>
        <v/>
      </c>
      <c r="J46" s="3" t="str">
        <f t="shared" si="1"/>
        <v xml:space="preserve"> </v>
      </c>
      <c r="K46" s="3" t="str">
        <f t="shared" si="15"/>
        <v/>
      </c>
      <c r="L46" s="30" t="str">
        <f t="shared" si="2"/>
        <v/>
      </c>
      <c r="M46" s="29" t="str">
        <f t="shared" si="16"/>
        <v/>
      </c>
      <c r="N46" s="29" t="str">
        <f t="shared" si="17"/>
        <v/>
      </c>
      <c r="O46" s="29" t="str">
        <f t="shared" si="3"/>
        <v/>
      </c>
      <c r="P46" s="29" t="str">
        <f t="shared" si="4"/>
        <v/>
      </c>
      <c r="Q46" s="29" t="str">
        <f t="shared" si="5"/>
        <v/>
      </c>
      <c r="R46" s="23" t="str">
        <f t="shared" si="6"/>
        <v/>
      </c>
      <c r="S46" s="5" t="str">
        <f t="shared" si="18"/>
        <v/>
      </c>
      <c r="T46" s="5" t="str">
        <f t="shared" si="19"/>
        <v/>
      </c>
      <c r="U46" s="5" t="str">
        <f t="shared" si="20"/>
        <v/>
      </c>
      <c r="V46" s="4" t="str">
        <f t="shared" si="25"/>
        <v/>
      </c>
      <c r="W46" s="6" t="str">
        <f t="shared" si="8"/>
        <v/>
      </c>
      <c r="X46" s="22" t="str">
        <f t="shared" si="9"/>
        <v/>
      </c>
      <c r="Y46" s="22" t="str">
        <f t="shared" si="10"/>
        <v/>
      </c>
      <c r="Z46" s="22"/>
      <c r="AA46" s="1">
        <v>43</v>
      </c>
      <c r="AB46" s="1">
        <v>1</v>
      </c>
      <c r="AC46" s="1" t="s">
        <v>38</v>
      </c>
      <c r="AD46" s="2">
        <v>45071</v>
      </c>
      <c r="AE46" s="2">
        <v>43781</v>
      </c>
      <c r="AF46" s="36">
        <v>165.73</v>
      </c>
      <c r="AG46" s="36">
        <v>111.82</v>
      </c>
      <c r="AH46" s="36">
        <v>53.91</v>
      </c>
      <c r="AI46" s="36">
        <v>4.8600000000000003</v>
      </c>
      <c r="AK46" s="34" t="e">
        <f t="shared" si="21"/>
        <v>#VALUE!</v>
      </c>
      <c r="AL46" s="34" t="e">
        <f t="shared" si="22"/>
        <v>#VALUE!</v>
      </c>
      <c r="AM46" s="34" t="e">
        <f t="shared" si="23"/>
        <v>#VALUE!</v>
      </c>
      <c r="AN46" s="34" t="e">
        <f t="shared" si="24"/>
        <v>#VALUE!</v>
      </c>
    </row>
    <row r="47" spans="5:40" x14ac:dyDescent="0.25">
      <c r="E47" s="25">
        <f t="shared" si="11"/>
        <v>44</v>
      </c>
      <c r="F47" s="26" t="str">
        <f t="shared" si="12"/>
        <v/>
      </c>
      <c r="G47" s="27" t="str">
        <f t="shared" si="13"/>
        <v/>
      </c>
      <c r="H47" s="28" t="str">
        <f t="shared" si="0"/>
        <v/>
      </c>
      <c r="I47" s="3" t="str">
        <f t="shared" si="14"/>
        <v/>
      </c>
      <c r="J47" s="3" t="str">
        <f t="shared" si="1"/>
        <v xml:space="preserve"> </v>
      </c>
      <c r="K47" s="3" t="str">
        <f t="shared" si="15"/>
        <v/>
      </c>
      <c r="L47" s="30" t="str">
        <f t="shared" si="2"/>
        <v/>
      </c>
      <c r="M47" s="29" t="str">
        <f t="shared" si="16"/>
        <v/>
      </c>
      <c r="N47" s="29" t="str">
        <f t="shared" si="17"/>
        <v/>
      </c>
      <c r="O47" s="29" t="str">
        <f t="shared" si="3"/>
        <v/>
      </c>
      <c r="P47" s="29" t="str">
        <f t="shared" si="4"/>
        <v/>
      </c>
      <c r="Q47" s="29" t="str">
        <f t="shared" si="5"/>
        <v/>
      </c>
      <c r="R47" s="23" t="str">
        <f t="shared" si="6"/>
        <v/>
      </c>
      <c r="S47" s="5" t="str">
        <f t="shared" si="18"/>
        <v/>
      </c>
      <c r="T47" s="5" t="str">
        <f t="shared" si="19"/>
        <v/>
      </c>
      <c r="U47" s="5" t="str">
        <f t="shared" si="20"/>
        <v/>
      </c>
      <c r="V47" s="4" t="str">
        <f t="shared" si="25"/>
        <v/>
      </c>
      <c r="W47" s="6" t="str">
        <f t="shared" si="8"/>
        <v/>
      </c>
      <c r="X47" s="22" t="str">
        <f t="shared" si="9"/>
        <v/>
      </c>
      <c r="Y47" s="22" t="str">
        <f t="shared" si="10"/>
        <v/>
      </c>
      <c r="Z47" s="22"/>
      <c r="AA47" s="1">
        <v>44</v>
      </c>
      <c r="AB47" s="1">
        <v>1</v>
      </c>
      <c r="AC47" s="1" t="s">
        <v>38</v>
      </c>
      <c r="AD47" s="2">
        <v>45102</v>
      </c>
      <c r="AE47" s="2">
        <v>43781</v>
      </c>
      <c r="AF47" s="36">
        <v>165.73</v>
      </c>
      <c r="AG47" s="36">
        <v>112.58</v>
      </c>
      <c r="AH47" s="36">
        <v>53.15</v>
      </c>
      <c r="AI47" s="36">
        <v>4.63</v>
      </c>
      <c r="AK47" s="34" t="e">
        <f t="shared" si="21"/>
        <v>#VALUE!</v>
      </c>
      <c r="AL47" s="34" t="e">
        <f t="shared" si="22"/>
        <v>#VALUE!</v>
      </c>
      <c r="AM47" s="34" t="e">
        <f t="shared" si="23"/>
        <v>#VALUE!</v>
      </c>
      <c r="AN47" s="34" t="e">
        <f t="shared" si="24"/>
        <v>#VALUE!</v>
      </c>
    </row>
    <row r="48" spans="5:40" x14ac:dyDescent="0.25">
      <c r="E48" s="25">
        <f t="shared" si="11"/>
        <v>45</v>
      </c>
      <c r="F48" s="26" t="str">
        <f t="shared" si="12"/>
        <v/>
      </c>
      <c r="G48" s="27" t="str">
        <f t="shared" si="13"/>
        <v/>
      </c>
      <c r="H48" s="28" t="str">
        <f t="shared" si="0"/>
        <v/>
      </c>
      <c r="I48" s="3" t="str">
        <f t="shared" si="14"/>
        <v/>
      </c>
      <c r="J48" s="3" t="str">
        <f t="shared" si="1"/>
        <v xml:space="preserve"> </v>
      </c>
      <c r="K48" s="3" t="str">
        <f t="shared" si="15"/>
        <v/>
      </c>
      <c r="L48" s="30" t="str">
        <f t="shared" si="2"/>
        <v/>
      </c>
      <c r="M48" s="29" t="str">
        <f t="shared" si="16"/>
        <v/>
      </c>
      <c r="N48" s="29" t="str">
        <f t="shared" si="17"/>
        <v/>
      </c>
      <c r="O48" s="29" t="str">
        <f t="shared" si="3"/>
        <v/>
      </c>
      <c r="P48" s="29" t="str">
        <f t="shared" si="4"/>
        <v/>
      </c>
      <c r="Q48" s="29" t="str">
        <f t="shared" si="5"/>
        <v/>
      </c>
      <c r="R48" s="23" t="str">
        <f t="shared" si="6"/>
        <v/>
      </c>
      <c r="S48" s="5" t="str">
        <f t="shared" si="18"/>
        <v/>
      </c>
      <c r="T48" s="5" t="str">
        <f t="shared" si="19"/>
        <v/>
      </c>
      <c r="U48" s="5" t="str">
        <f t="shared" si="20"/>
        <v/>
      </c>
      <c r="V48" s="4" t="str">
        <f t="shared" si="25"/>
        <v/>
      </c>
      <c r="W48" s="6" t="str">
        <f t="shared" si="8"/>
        <v/>
      </c>
      <c r="X48" s="22" t="str">
        <f t="shared" si="9"/>
        <v/>
      </c>
      <c r="Y48" s="22" t="str">
        <f t="shared" si="10"/>
        <v/>
      </c>
      <c r="Z48" s="22"/>
      <c r="AA48" s="1">
        <v>45</v>
      </c>
      <c r="AB48" s="1">
        <v>1</v>
      </c>
      <c r="AC48" s="1" t="s">
        <v>38</v>
      </c>
      <c r="AD48" s="2">
        <v>45132</v>
      </c>
      <c r="AE48" s="2">
        <v>43781</v>
      </c>
      <c r="AF48" s="36">
        <v>165.73</v>
      </c>
      <c r="AG48" s="36">
        <v>116.79</v>
      </c>
      <c r="AH48" s="36">
        <v>48.94</v>
      </c>
      <c r="AI48" s="36">
        <v>4.41</v>
      </c>
      <c r="AK48" s="34" t="e">
        <f t="shared" si="21"/>
        <v>#VALUE!</v>
      </c>
      <c r="AL48" s="34" t="e">
        <f t="shared" si="22"/>
        <v>#VALUE!</v>
      </c>
      <c r="AM48" s="34" t="e">
        <f t="shared" si="23"/>
        <v>#VALUE!</v>
      </c>
      <c r="AN48" s="34" t="e">
        <f t="shared" si="24"/>
        <v>#VALUE!</v>
      </c>
    </row>
    <row r="49" spans="5:40" x14ac:dyDescent="0.25">
      <c r="E49" s="25">
        <f t="shared" si="11"/>
        <v>46</v>
      </c>
      <c r="F49" s="26" t="str">
        <f t="shared" si="12"/>
        <v/>
      </c>
      <c r="G49" s="27" t="str">
        <f t="shared" si="13"/>
        <v/>
      </c>
      <c r="H49" s="28" t="str">
        <f t="shared" si="0"/>
        <v/>
      </c>
      <c r="I49" s="3" t="str">
        <f t="shared" si="14"/>
        <v/>
      </c>
      <c r="J49" s="3" t="str">
        <f t="shared" si="1"/>
        <v xml:space="preserve"> </v>
      </c>
      <c r="K49" s="3" t="str">
        <f t="shared" si="15"/>
        <v/>
      </c>
      <c r="L49" s="30" t="str">
        <f t="shared" si="2"/>
        <v/>
      </c>
      <c r="M49" s="29" t="str">
        <f t="shared" si="16"/>
        <v/>
      </c>
      <c r="N49" s="29" t="str">
        <f t="shared" si="17"/>
        <v/>
      </c>
      <c r="O49" s="29" t="str">
        <f t="shared" si="3"/>
        <v/>
      </c>
      <c r="P49" s="29" t="str">
        <f t="shared" si="4"/>
        <v/>
      </c>
      <c r="Q49" s="29" t="str">
        <f t="shared" si="5"/>
        <v/>
      </c>
      <c r="R49" s="23" t="str">
        <f t="shared" si="6"/>
        <v/>
      </c>
      <c r="S49" s="5" t="str">
        <f t="shared" si="18"/>
        <v/>
      </c>
      <c r="T49" s="5" t="str">
        <f t="shared" si="19"/>
        <v/>
      </c>
      <c r="U49" s="5" t="str">
        <f t="shared" si="20"/>
        <v/>
      </c>
      <c r="V49" s="4" t="str">
        <f t="shared" si="25"/>
        <v/>
      </c>
      <c r="W49" s="6" t="str">
        <f t="shared" si="8"/>
        <v/>
      </c>
      <c r="X49" s="22" t="str">
        <f t="shared" si="9"/>
        <v/>
      </c>
      <c r="Y49" s="22" t="str">
        <f t="shared" si="10"/>
        <v/>
      </c>
      <c r="Z49" s="22"/>
      <c r="AA49" s="1">
        <v>46</v>
      </c>
      <c r="AB49" s="1">
        <v>1</v>
      </c>
      <c r="AC49" s="1" t="s">
        <v>38</v>
      </c>
      <c r="AD49" s="2">
        <v>45163</v>
      </c>
      <c r="AE49" s="2">
        <v>43781</v>
      </c>
      <c r="AF49" s="36">
        <v>165.73</v>
      </c>
      <c r="AG49" s="36">
        <v>117.84</v>
      </c>
      <c r="AH49" s="36">
        <v>47.89</v>
      </c>
      <c r="AI49" s="36">
        <v>4.17</v>
      </c>
      <c r="AK49" s="34" t="e">
        <f t="shared" si="21"/>
        <v>#VALUE!</v>
      </c>
      <c r="AL49" s="34" t="e">
        <f t="shared" si="22"/>
        <v>#VALUE!</v>
      </c>
      <c r="AM49" s="34" t="e">
        <f t="shared" si="23"/>
        <v>#VALUE!</v>
      </c>
      <c r="AN49" s="34" t="e">
        <f t="shared" si="24"/>
        <v>#VALUE!</v>
      </c>
    </row>
    <row r="50" spans="5:40" x14ac:dyDescent="0.25">
      <c r="E50" s="25">
        <f t="shared" si="11"/>
        <v>47</v>
      </c>
      <c r="F50" s="26" t="str">
        <f t="shared" si="12"/>
        <v/>
      </c>
      <c r="G50" s="27" t="str">
        <f t="shared" si="13"/>
        <v/>
      </c>
      <c r="H50" s="28" t="str">
        <f t="shared" si="0"/>
        <v/>
      </c>
      <c r="I50" s="3" t="str">
        <f t="shared" si="14"/>
        <v/>
      </c>
      <c r="J50" s="3" t="str">
        <f t="shared" si="1"/>
        <v xml:space="preserve"> </v>
      </c>
      <c r="K50" s="3" t="str">
        <f t="shared" si="15"/>
        <v/>
      </c>
      <c r="L50" s="30" t="str">
        <f t="shared" si="2"/>
        <v/>
      </c>
      <c r="M50" s="29" t="str">
        <f t="shared" si="16"/>
        <v/>
      </c>
      <c r="N50" s="29" t="str">
        <f t="shared" si="17"/>
        <v/>
      </c>
      <c r="O50" s="29" t="str">
        <f t="shared" si="3"/>
        <v/>
      </c>
      <c r="P50" s="29" t="str">
        <f t="shared" si="4"/>
        <v/>
      </c>
      <c r="Q50" s="29" t="str">
        <f t="shared" si="5"/>
        <v/>
      </c>
      <c r="R50" s="23" t="str">
        <f t="shared" si="6"/>
        <v/>
      </c>
      <c r="S50" s="5" t="str">
        <f t="shared" si="18"/>
        <v/>
      </c>
      <c r="T50" s="5" t="str">
        <f t="shared" si="19"/>
        <v/>
      </c>
      <c r="U50" s="5" t="str">
        <f t="shared" si="20"/>
        <v/>
      </c>
      <c r="V50" s="4" t="str">
        <f t="shared" si="25"/>
        <v/>
      </c>
      <c r="W50" s="6" t="str">
        <f t="shared" si="8"/>
        <v/>
      </c>
      <c r="X50" s="22" t="str">
        <f t="shared" si="9"/>
        <v/>
      </c>
      <c r="Y50" s="22" t="str">
        <f t="shared" si="10"/>
        <v/>
      </c>
      <c r="Z50" s="22"/>
      <c r="AA50" s="1">
        <v>47</v>
      </c>
      <c r="AB50" s="1">
        <v>1</v>
      </c>
      <c r="AC50" s="1" t="s">
        <v>38</v>
      </c>
      <c r="AD50" s="2">
        <v>45194</v>
      </c>
      <c r="AE50" s="2">
        <v>43781</v>
      </c>
      <c r="AF50" s="36">
        <v>165.73</v>
      </c>
      <c r="AG50" s="36">
        <v>120.54</v>
      </c>
      <c r="AH50" s="36">
        <v>45.19</v>
      </c>
      <c r="AI50" s="36">
        <v>3.94</v>
      </c>
      <c r="AK50" s="34" t="e">
        <f t="shared" si="21"/>
        <v>#VALUE!</v>
      </c>
      <c r="AL50" s="34" t="e">
        <f t="shared" si="22"/>
        <v>#VALUE!</v>
      </c>
      <c r="AM50" s="34" t="e">
        <f t="shared" si="23"/>
        <v>#VALUE!</v>
      </c>
      <c r="AN50" s="34" t="e">
        <f t="shared" si="24"/>
        <v>#VALUE!</v>
      </c>
    </row>
    <row r="51" spans="5:40" x14ac:dyDescent="0.25">
      <c r="E51" s="25">
        <f t="shared" si="11"/>
        <v>48</v>
      </c>
      <c r="F51" s="26" t="str">
        <f t="shared" si="12"/>
        <v/>
      </c>
      <c r="G51" s="27" t="str">
        <f t="shared" si="13"/>
        <v/>
      </c>
      <c r="H51" s="28" t="str">
        <f t="shared" si="0"/>
        <v/>
      </c>
      <c r="I51" s="3" t="str">
        <f t="shared" si="14"/>
        <v/>
      </c>
      <c r="J51" s="3" t="str">
        <f t="shared" si="1"/>
        <v xml:space="preserve"> </v>
      </c>
      <c r="K51" s="3" t="str">
        <f t="shared" si="15"/>
        <v/>
      </c>
      <c r="L51" s="30" t="str">
        <f t="shared" si="2"/>
        <v/>
      </c>
      <c r="M51" s="29" t="str">
        <f t="shared" si="16"/>
        <v/>
      </c>
      <c r="N51" s="29" t="str">
        <f t="shared" si="17"/>
        <v/>
      </c>
      <c r="O51" s="29" t="str">
        <f t="shared" si="3"/>
        <v/>
      </c>
      <c r="P51" s="29" t="str">
        <f t="shared" si="4"/>
        <v/>
      </c>
      <c r="Q51" s="29" t="str">
        <f t="shared" si="5"/>
        <v/>
      </c>
      <c r="R51" s="23" t="str">
        <f t="shared" si="6"/>
        <v/>
      </c>
      <c r="S51" s="5" t="str">
        <f t="shared" si="18"/>
        <v/>
      </c>
      <c r="T51" s="5" t="str">
        <f t="shared" si="19"/>
        <v/>
      </c>
      <c r="U51" s="5" t="str">
        <f t="shared" si="20"/>
        <v/>
      </c>
      <c r="V51" s="4" t="str">
        <f t="shared" si="25"/>
        <v/>
      </c>
      <c r="W51" s="6" t="str">
        <f t="shared" si="8"/>
        <v/>
      </c>
      <c r="X51" s="22" t="str">
        <f t="shared" si="9"/>
        <v/>
      </c>
      <c r="Y51" s="22" t="str">
        <f t="shared" si="10"/>
        <v/>
      </c>
      <c r="Z51" s="22"/>
      <c r="AA51" s="1">
        <v>48</v>
      </c>
      <c r="AB51" s="1">
        <v>1</v>
      </c>
      <c r="AC51" s="1" t="s">
        <v>38</v>
      </c>
      <c r="AD51" s="2">
        <v>45224</v>
      </c>
      <c r="AE51" s="2">
        <v>43781</v>
      </c>
      <c r="AF51" s="36">
        <v>165.73</v>
      </c>
      <c r="AG51" s="36">
        <v>124.67</v>
      </c>
      <c r="AH51" s="36">
        <v>41.06</v>
      </c>
      <c r="AI51" s="36">
        <v>3.7</v>
      </c>
      <c r="AK51" s="34" t="e">
        <f t="shared" si="21"/>
        <v>#VALUE!</v>
      </c>
      <c r="AL51" s="34" t="e">
        <f t="shared" si="22"/>
        <v>#VALUE!</v>
      </c>
      <c r="AM51" s="34" t="e">
        <f t="shared" si="23"/>
        <v>#VALUE!</v>
      </c>
      <c r="AN51" s="34" t="e">
        <f t="shared" si="24"/>
        <v>#VALUE!</v>
      </c>
    </row>
    <row r="52" spans="5:40" x14ac:dyDescent="0.25">
      <c r="E52" s="25">
        <f t="shared" si="11"/>
        <v>49</v>
      </c>
      <c r="F52" s="26" t="str">
        <f t="shared" si="12"/>
        <v/>
      </c>
      <c r="G52" s="27" t="str">
        <f t="shared" si="13"/>
        <v/>
      </c>
      <c r="H52" s="28" t="str">
        <f t="shared" si="0"/>
        <v/>
      </c>
      <c r="I52" s="3" t="str">
        <f t="shared" si="14"/>
        <v/>
      </c>
      <c r="J52" s="3" t="str">
        <f t="shared" si="1"/>
        <v xml:space="preserve"> </v>
      </c>
      <c r="K52" s="3" t="str">
        <f t="shared" si="15"/>
        <v/>
      </c>
      <c r="L52" s="30" t="str">
        <f t="shared" si="2"/>
        <v/>
      </c>
      <c r="M52" s="29" t="str">
        <f t="shared" si="16"/>
        <v/>
      </c>
      <c r="N52" s="29" t="str">
        <f t="shared" si="17"/>
        <v/>
      </c>
      <c r="O52" s="29" t="str">
        <f t="shared" si="3"/>
        <v/>
      </c>
      <c r="P52" s="29" t="str">
        <f t="shared" si="4"/>
        <v/>
      </c>
      <c r="Q52" s="29" t="str">
        <f t="shared" si="5"/>
        <v/>
      </c>
      <c r="R52" s="23" t="str">
        <f t="shared" si="6"/>
        <v/>
      </c>
      <c r="S52" s="5" t="str">
        <f t="shared" si="18"/>
        <v/>
      </c>
      <c r="T52" s="5" t="str">
        <f t="shared" si="19"/>
        <v/>
      </c>
      <c r="U52" s="5" t="str">
        <f t="shared" si="20"/>
        <v/>
      </c>
      <c r="V52" s="4" t="str">
        <f t="shared" si="25"/>
        <v/>
      </c>
      <c r="W52" s="6" t="str">
        <f t="shared" si="8"/>
        <v/>
      </c>
      <c r="X52" s="22" t="str">
        <f t="shared" si="9"/>
        <v/>
      </c>
      <c r="Y52" s="22" t="str">
        <f t="shared" si="10"/>
        <v/>
      </c>
      <c r="Z52" s="22"/>
      <c r="AA52" s="1">
        <v>49</v>
      </c>
      <c r="AB52" s="1">
        <v>1</v>
      </c>
      <c r="AC52" s="1" t="s">
        <v>38</v>
      </c>
      <c r="AD52" s="2">
        <v>45255</v>
      </c>
      <c r="AE52" s="2">
        <v>43781</v>
      </c>
      <c r="AF52" s="36">
        <v>165.73</v>
      </c>
      <c r="AG52" s="36">
        <v>126.16</v>
      </c>
      <c r="AH52" s="36">
        <v>39.57</v>
      </c>
      <c r="AI52" s="36">
        <v>3.45</v>
      </c>
      <c r="AK52" s="34" t="e">
        <f t="shared" si="21"/>
        <v>#VALUE!</v>
      </c>
      <c r="AL52" s="34" t="e">
        <f t="shared" si="22"/>
        <v>#VALUE!</v>
      </c>
      <c r="AM52" s="34" t="e">
        <f t="shared" si="23"/>
        <v>#VALUE!</v>
      </c>
      <c r="AN52" s="34" t="e">
        <f t="shared" si="24"/>
        <v>#VALUE!</v>
      </c>
    </row>
    <row r="53" spans="5:40" x14ac:dyDescent="0.25">
      <c r="E53" s="25">
        <f t="shared" si="11"/>
        <v>50</v>
      </c>
      <c r="F53" s="26" t="str">
        <f t="shared" si="12"/>
        <v/>
      </c>
      <c r="G53" s="27" t="str">
        <f t="shared" si="13"/>
        <v/>
      </c>
      <c r="H53" s="28" t="str">
        <f t="shared" si="0"/>
        <v/>
      </c>
      <c r="I53" s="3" t="str">
        <f t="shared" si="14"/>
        <v/>
      </c>
      <c r="J53" s="3" t="str">
        <f t="shared" si="1"/>
        <v xml:space="preserve"> </v>
      </c>
      <c r="K53" s="3" t="str">
        <f t="shared" si="15"/>
        <v/>
      </c>
      <c r="L53" s="30" t="str">
        <f t="shared" si="2"/>
        <v/>
      </c>
      <c r="M53" s="29" t="str">
        <f t="shared" si="16"/>
        <v/>
      </c>
      <c r="N53" s="29" t="str">
        <f t="shared" si="17"/>
        <v/>
      </c>
      <c r="O53" s="29" t="str">
        <f t="shared" si="3"/>
        <v/>
      </c>
      <c r="P53" s="29" t="str">
        <f t="shared" si="4"/>
        <v/>
      </c>
      <c r="Q53" s="29" t="str">
        <f t="shared" si="5"/>
        <v/>
      </c>
      <c r="R53" s="23" t="str">
        <f t="shared" si="6"/>
        <v/>
      </c>
      <c r="S53" s="5" t="str">
        <f t="shared" si="18"/>
        <v/>
      </c>
      <c r="T53" s="5" t="str">
        <f t="shared" si="19"/>
        <v/>
      </c>
      <c r="U53" s="5" t="str">
        <f t="shared" si="20"/>
        <v/>
      </c>
      <c r="V53" s="4" t="str">
        <f t="shared" si="25"/>
        <v/>
      </c>
      <c r="W53" s="6" t="str">
        <f t="shared" si="8"/>
        <v/>
      </c>
      <c r="X53" s="22" t="str">
        <f t="shared" si="9"/>
        <v/>
      </c>
      <c r="Y53" s="22" t="str">
        <f t="shared" si="10"/>
        <v/>
      </c>
      <c r="Z53" s="22"/>
      <c r="AA53" s="1">
        <v>50</v>
      </c>
      <c r="AB53" s="1">
        <v>1</v>
      </c>
      <c r="AC53" s="1" t="s">
        <v>38</v>
      </c>
      <c r="AD53" s="2">
        <v>45285</v>
      </c>
      <c r="AE53" s="2">
        <v>43781</v>
      </c>
      <c r="AF53" s="36">
        <v>165.73</v>
      </c>
      <c r="AG53" s="36">
        <v>130.24</v>
      </c>
      <c r="AH53" s="36">
        <v>35.49</v>
      </c>
      <c r="AI53" s="36">
        <v>3.2</v>
      </c>
      <c r="AK53" s="34" t="e">
        <f t="shared" si="21"/>
        <v>#VALUE!</v>
      </c>
      <c r="AL53" s="34" t="e">
        <f t="shared" si="22"/>
        <v>#VALUE!</v>
      </c>
      <c r="AM53" s="34" t="e">
        <f t="shared" si="23"/>
        <v>#VALUE!</v>
      </c>
      <c r="AN53" s="34" t="e">
        <f t="shared" si="24"/>
        <v>#VALUE!</v>
      </c>
    </row>
    <row r="54" spans="5:40" x14ac:dyDescent="0.25">
      <c r="E54" s="25">
        <f t="shared" si="11"/>
        <v>51</v>
      </c>
      <c r="F54" s="26" t="str">
        <f t="shared" si="12"/>
        <v/>
      </c>
      <c r="G54" s="27" t="str">
        <f t="shared" si="13"/>
        <v/>
      </c>
      <c r="H54" s="28" t="str">
        <f t="shared" si="0"/>
        <v/>
      </c>
      <c r="I54" s="3" t="str">
        <f t="shared" si="14"/>
        <v/>
      </c>
      <c r="J54" s="3" t="str">
        <f t="shared" si="1"/>
        <v xml:space="preserve"> </v>
      </c>
      <c r="K54" s="3" t="str">
        <f t="shared" si="15"/>
        <v/>
      </c>
      <c r="L54" s="30" t="str">
        <f t="shared" si="2"/>
        <v/>
      </c>
      <c r="M54" s="29" t="str">
        <f t="shared" si="16"/>
        <v/>
      </c>
      <c r="N54" s="29" t="str">
        <f t="shared" si="17"/>
        <v/>
      </c>
      <c r="O54" s="29" t="str">
        <f t="shared" si="3"/>
        <v/>
      </c>
      <c r="P54" s="29" t="str">
        <f t="shared" si="4"/>
        <v/>
      </c>
      <c r="Q54" s="29" t="str">
        <f t="shared" si="5"/>
        <v/>
      </c>
      <c r="R54" s="23" t="str">
        <f t="shared" si="6"/>
        <v/>
      </c>
      <c r="S54" s="5" t="str">
        <f t="shared" si="18"/>
        <v/>
      </c>
      <c r="T54" s="5" t="str">
        <f t="shared" si="19"/>
        <v/>
      </c>
      <c r="U54" s="5" t="str">
        <f t="shared" si="20"/>
        <v/>
      </c>
      <c r="V54" s="4" t="str">
        <f t="shared" si="25"/>
        <v/>
      </c>
      <c r="W54" s="6" t="str">
        <f t="shared" si="8"/>
        <v/>
      </c>
      <c r="X54" s="22" t="str">
        <f t="shared" si="9"/>
        <v/>
      </c>
      <c r="Y54" s="22" t="str">
        <f t="shared" si="10"/>
        <v/>
      </c>
      <c r="Z54" s="22"/>
      <c r="AA54" s="1">
        <v>51</v>
      </c>
      <c r="AB54" s="1">
        <v>1</v>
      </c>
      <c r="AC54" s="1" t="s">
        <v>38</v>
      </c>
      <c r="AD54" s="2">
        <v>45316</v>
      </c>
      <c r="AE54" s="2">
        <v>43781</v>
      </c>
      <c r="AF54" s="36">
        <v>165.73</v>
      </c>
      <c r="AG54" s="36">
        <v>132.11000000000001</v>
      </c>
      <c r="AH54" s="36">
        <v>33.619999999999997</v>
      </c>
      <c r="AI54" s="36">
        <v>2.93</v>
      </c>
      <c r="AK54" s="34" t="e">
        <f t="shared" si="21"/>
        <v>#VALUE!</v>
      </c>
      <c r="AL54" s="34" t="e">
        <f t="shared" si="22"/>
        <v>#VALUE!</v>
      </c>
      <c r="AM54" s="34" t="e">
        <f t="shared" si="23"/>
        <v>#VALUE!</v>
      </c>
      <c r="AN54" s="34" t="e">
        <f t="shared" si="24"/>
        <v>#VALUE!</v>
      </c>
    </row>
    <row r="55" spans="5:40" x14ac:dyDescent="0.25">
      <c r="E55" s="25">
        <f t="shared" si="11"/>
        <v>52</v>
      </c>
      <c r="F55" s="26" t="str">
        <f t="shared" si="12"/>
        <v/>
      </c>
      <c r="G55" s="27" t="str">
        <f t="shared" si="13"/>
        <v/>
      </c>
      <c r="H55" s="28" t="str">
        <f t="shared" si="0"/>
        <v/>
      </c>
      <c r="I55" s="3" t="str">
        <f t="shared" si="14"/>
        <v/>
      </c>
      <c r="J55" s="3" t="str">
        <f t="shared" si="1"/>
        <v xml:space="preserve"> </v>
      </c>
      <c r="K55" s="3" t="str">
        <f t="shared" si="15"/>
        <v/>
      </c>
      <c r="L55" s="30" t="str">
        <f t="shared" si="2"/>
        <v/>
      </c>
      <c r="M55" s="29" t="str">
        <f t="shared" si="16"/>
        <v/>
      </c>
      <c r="N55" s="29" t="str">
        <f t="shared" si="17"/>
        <v/>
      </c>
      <c r="O55" s="29" t="str">
        <f t="shared" si="3"/>
        <v/>
      </c>
      <c r="P55" s="29" t="str">
        <f t="shared" si="4"/>
        <v/>
      </c>
      <c r="Q55" s="29" t="str">
        <f t="shared" si="5"/>
        <v/>
      </c>
      <c r="R55" s="23" t="str">
        <f t="shared" si="6"/>
        <v/>
      </c>
      <c r="S55" s="5" t="str">
        <f t="shared" si="18"/>
        <v/>
      </c>
      <c r="T55" s="5" t="str">
        <f t="shared" si="19"/>
        <v/>
      </c>
      <c r="U55" s="5" t="str">
        <f t="shared" si="20"/>
        <v/>
      </c>
      <c r="V55" s="4" t="str">
        <f t="shared" si="25"/>
        <v/>
      </c>
      <c r="W55" s="6" t="str">
        <f t="shared" si="8"/>
        <v/>
      </c>
      <c r="X55" s="22" t="str">
        <f t="shared" si="9"/>
        <v/>
      </c>
      <c r="Y55" s="22" t="str">
        <f t="shared" si="10"/>
        <v/>
      </c>
      <c r="Z55" s="22"/>
      <c r="AA55" s="1">
        <v>52</v>
      </c>
      <c r="AB55" s="1">
        <v>1</v>
      </c>
      <c r="AC55" s="1" t="s">
        <v>38</v>
      </c>
      <c r="AD55" s="2">
        <v>45347</v>
      </c>
      <c r="AE55" s="2">
        <v>43781</v>
      </c>
      <c r="AF55" s="36">
        <v>165.73</v>
      </c>
      <c r="AG55" s="36">
        <v>135.15</v>
      </c>
      <c r="AH55" s="36">
        <v>30.58</v>
      </c>
      <c r="AI55" s="36">
        <v>2.67</v>
      </c>
      <c r="AK55" s="34" t="e">
        <f t="shared" si="21"/>
        <v>#VALUE!</v>
      </c>
      <c r="AL55" s="34" t="e">
        <f t="shared" si="22"/>
        <v>#VALUE!</v>
      </c>
      <c r="AM55" s="34" t="e">
        <f t="shared" si="23"/>
        <v>#VALUE!</v>
      </c>
      <c r="AN55" s="34" t="e">
        <f t="shared" si="24"/>
        <v>#VALUE!</v>
      </c>
    </row>
    <row r="56" spans="5:40" x14ac:dyDescent="0.25">
      <c r="E56" s="25">
        <f t="shared" si="11"/>
        <v>53</v>
      </c>
      <c r="F56" s="26" t="str">
        <f t="shared" si="12"/>
        <v/>
      </c>
      <c r="G56" s="27" t="str">
        <f t="shared" si="13"/>
        <v/>
      </c>
      <c r="H56" s="28" t="str">
        <f t="shared" si="0"/>
        <v/>
      </c>
      <c r="I56" s="3" t="str">
        <f t="shared" si="14"/>
        <v/>
      </c>
      <c r="J56" s="3" t="str">
        <f t="shared" si="1"/>
        <v xml:space="preserve"> </v>
      </c>
      <c r="K56" s="3" t="str">
        <f t="shared" si="15"/>
        <v/>
      </c>
      <c r="L56" s="30" t="str">
        <f t="shared" si="2"/>
        <v/>
      </c>
      <c r="M56" s="29" t="str">
        <f t="shared" si="16"/>
        <v/>
      </c>
      <c r="N56" s="29" t="str">
        <f t="shared" si="17"/>
        <v/>
      </c>
      <c r="O56" s="29" t="str">
        <f t="shared" si="3"/>
        <v/>
      </c>
      <c r="P56" s="29" t="str">
        <f t="shared" si="4"/>
        <v/>
      </c>
      <c r="Q56" s="29" t="str">
        <f t="shared" si="5"/>
        <v/>
      </c>
      <c r="R56" s="23" t="str">
        <f t="shared" si="6"/>
        <v/>
      </c>
      <c r="S56" s="5" t="str">
        <f t="shared" si="18"/>
        <v/>
      </c>
      <c r="T56" s="5" t="str">
        <f t="shared" si="19"/>
        <v/>
      </c>
      <c r="U56" s="5" t="str">
        <f t="shared" si="20"/>
        <v/>
      </c>
      <c r="V56" s="4" t="str">
        <f t="shared" si="25"/>
        <v/>
      </c>
      <c r="W56" s="6" t="str">
        <f t="shared" si="8"/>
        <v/>
      </c>
      <c r="X56" s="22" t="str">
        <f t="shared" si="9"/>
        <v/>
      </c>
      <c r="Y56" s="22" t="str">
        <f t="shared" si="10"/>
        <v/>
      </c>
      <c r="Z56" s="22"/>
      <c r="AA56" s="1">
        <v>53</v>
      </c>
      <c r="AB56" s="1">
        <v>1</v>
      </c>
      <c r="AC56" s="1" t="s">
        <v>38</v>
      </c>
      <c r="AD56" s="2">
        <v>45376</v>
      </c>
      <c r="AE56" s="2">
        <v>43781</v>
      </c>
      <c r="AF56" s="36">
        <v>165.73</v>
      </c>
      <c r="AG56" s="36">
        <v>140.02000000000001</v>
      </c>
      <c r="AH56" s="36">
        <v>25.71</v>
      </c>
      <c r="AI56" s="36">
        <v>2.4</v>
      </c>
      <c r="AK56" s="34" t="e">
        <f t="shared" si="21"/>
        <v>#VALUE!</v>
      </c>
      <c r="AL56" s="34" t="e">
        <f t="shared" si="22"/>
        <v>#VALUE!</v>
      </c>
      <c r="AM56" s="34" t="e">
        <f t="shared" si="23"/>
        <v>#VALUE!</v>
      </c>
      <c r="AN56" s="34" t="e">
        <f t="shared" si="24"/>
        <v>#VALUE!</v>
      </c>
    </row>
    <row r="57" spans="5:40" x14ac:dyDescent="0.25">
      <c r="E57" s="25">
        <f t="shared" si="11"/>
        <v>54</v>
      </c>
      <c r="F57" s="26" t="str">
        <f t="shared" si="12"/>
        <v/>
      </c>
      <c r="G57" s="27" t="str">
        <f t="shared" si="13"/>
        <v/>
      </c>
      <c r="H57" s="28" t="str">
        <f t="shared" si="0"/>
        <v/>
      </c>
      <c r="I57" s="3" t="str">
        <f t="shared" si="14"/>
        <v/>
      </c>
      <c r="J57" s="3" t="str">
        <f t="shared" si="1"/>
        <v xml:space="preserve"> </v>
      </c>
      <c r="K57" s="3" t="str">
        <f t="shared" si="15"/>
        <v/>
      </c>
      <c r="L57" s="30" t="str">
        <f t="shared" si="2"/>
        <v/>
      </c>
      <c r="M57" s="29" t="str">
        <f t="shared" si="16"/>
        <v/>
      </c>
      <c r="N57" s="29" t="str">
        <f t="shared" si="17"/>
        <v/>
      </c>
      <c r="O57" s="29" t="str">
        <f t="shared" si="3"/>
        <v/>
      </c>
      <c r="P57" s="29" t="str">
        <f t="shared" si="4"/>
        <v/>
      </c>
      <c r="Q57" s="29" t="str">
        <f t="shared" si="5"/>
        <v/>
      </c>
      <c r="R57" s="23" t="str">
        <f t="shared" si="6"/>
        <v/>
      </c>
      <c r="S57" s="5" t="str">
        <f t="shared" si="18"/>
        <v/>
      </c>
      <c r="T57" s="5" t="str">
        <f t="shared" si="19"/>
        <v/>
      </c>
      <c r="U57" s="5" t="str">
        <f t="shared" si="20"/>
        <v/>
      </c>
      <c r="V57" s="4" t="str">
        <f t="shared" si="25"/>
        <v/>
      </c>
      <c r="W57" s="6" t="str">
        <f t="shared" si="8"/>
        <v/>
      </c>
      <c r="X57" s="22" t="str">
        <f t="shared" si="9"/>
        <v/>
      </c>
      <c r="Y57" s="22" t="str">
        <f t="shared" si="10"/>
        <v/>
      </c>
      <c r="Z57" s="22"/>
      <c r="AA57" s="1">
        <v>54</v>
      </c>
      <c r="AB57" s="1">
        <v>1</v>
      </c>
      <c r="AC57" s="1" t="s">
        <v>38</v>
      </c>
      <c r="AD57" s="2">
        <v>45407</v>
      </c>
      <c r="AE57" s="2">
        <v>43781</v>
      </c>
      <c r="AF57" s="36">
        <v>165.73</v>
      </c>
      <c r="AG57" s="36">
        <v>141.44</v>
      </c>
      <c r="AH57" s="36">
        <v>24.29</v>
      </c>
      <c r="AI57" s="36">
        <v>2.12</v>
      </c>
      <c r="AK57" s="34" t="e">
        <f t="shared" si="21"/>
        <v>#VALUE!</v>
      </c>
      <c r="AL57" s="34" t="e">
        <f t="shared" si="22"/>
        <v>#VALUE!</v>
      </c>
      <c r="AM57" s="34" t="e">
        <f t="shared" si="23"/>
        <v>#VALUE!</v>
      </c>
      <c r="AN57" s="34" t="e">
        <f t="shared" si="24"/>
        <v>#VALUE!</v>
      </c>
    </row>
    <row r="58" spans="5:40" x14ac:dyDescent="0.25">
      <c r="E58" s="25">
        <f t="shared" si="11"/>
        <v>55</v>
      </c>
      <c r="F58" s="26" t="str">
        <f t="shared" si="12"/>
        <v/>
      </c>
      <c r="G58" s="27" t="str">
        <f t="shared" si="13"/>
        <v/>
      </c>
      <c r="H58" s="28" t="str">
        <f t="shared" si="0"/>
        <v/>
      </c>
      <c r="I58" s="3" t="str">
        <f t="shared" si="14"/>
        <v/>
      </c>
      <c r="J58" s="3" t="str">
        <f t="shared" si="1"/>
        <v xml:space="preserve"> </v>
      </c>
      <c r="K58" s="3" t="str">
        <f t="shared" si="15"/>
        <v/>
      </c>
      <c r="L58" s="30" t="str">
        <f t="shared" si="2"/>
        <v/>
      </c>
      <c r="M58" s="29" t="str">
        <f t="shared" si="16"/>
        <v/>
      </c>
      <c r="N58" s="29" t="str">
        <f t="shared" si="17"/>
        <v/>
      </c>
      <c r="O58" s="29" t="str">
        <f t="shared" si="3"/>
        <v/>
      </c>
      <c r="P58" s="29" t="str">
        <f t="shared" si="4"/>
        <v/>
      </c>
      <c r="Q58" s="29" t="str">
        <f t="shared" si="5"/>
        <v/>
      </c>
      <c r="R58" s="23" t="str">
        <f t="shared" si="6"/>
        <v/>
      </c>
      <c r="S58" s="5" t="str">
        <f t="shared" si="18"/>
        <v/>
      </c>
      <c r="T58" s="5" t="str">
        <f t="shared" si="19"/>
        <v/>
      </c>
      <c r="U58" s="5" t="str">
        <f t="shared" si="20"/>
        <v/>
      </c>
      <c r="V58" s="4" t="str">
        <f t="shared" si="25"/>
        <v/>
      </c>
      <c r="W58" s="6" t="str">
        <f t="shared" si="8"/>
        <v/>
      </c>
      <c r="X58" s="22" t="str">
        <f t="shared" si="9"/>
        <v/>
      </c>
      <c r="Y58" s="22" t="str">
        <f t="shared" si="10"/>
        <v/>
      </c>
      <c r="Z58" s="22"/>
      <c r="AA58" s="1">
        <v>55</v>
      </c>
      <c r="AB58" s="1">
        <v>1</v>
      </c>
      <c r="AC58" s="1" t="s">
        <v>38</v>
      </c>
      <c r="AD58" s="2">
        <v>45437</v>
      </c>
      <c r="AE58" s="2">
        <v>43781</v>
      </c>
      <c r="AF58" s="36">
        <v>165.73</v>
      </c>
      <c r="AG58" s="36">
        <v>145.36000000000001</v>
      </c>
      <c r="AH58" s="36">
        <v>20.37</v>
      </c>
      <c r="AI58" s="36">
        <v>1.84</v>
      </c>
      <c r="AK58" s="34" t="e">
        <f t="shared" si="21"/>
        <v>#VALUE!</v>
      </c>
      <c r="AL58" s="34" t="e">
        <f t="shared" si="22"/>
        <v>#VALUE!</v>
      </c>
      <c r="AM58" s="34" t="e">
        <f t="shared" si="23"/>
        <v>#VALUE!</v>
      </c>
      <c r="AN58" s="34" t="e">
        <f t="shared" si="24"/>
        <v>#VALUE!</v>
      </c>
    </row>
    <row r="59" spans="5:40" x14ac:dyDescent="0.25">
      <c r="E59" s="25">
        <f t="shared" si="11"/>
        <v>56</v>
      </c>
      <c r="F59" s="26" t="str">
        <f t="shared" si="12"/>
        <v/>
      </c>
      <c r="G59" s="27" t="str">
        <f t="shared" si="13"/>
        <v/>
      </c>
      <c r="H59" s="28" t="str">
        <f t="shared" si="0"/>
        <v/>
      </c>
      <c r="I59" s="3" t="str">
        <f t="shared" si="14"/>
        <v/>
      </c>
      <c r="J59" s="3" t="str">
        <f t="shared" si="1"/>
        <v xml:space="preserve"> </v>
      </c>
      <c r="K59" s="3" t="str">
        <f t="shared" si="15"/>
        <v/>
      </c>
      <c r="L59" s="30" t="str">
        <f t="shared" si="2"/>
        <v/>
      </c>
      <c r="M59" s="29" t="str">
        <f t="shared" si="16"/>
        <v/>
      </c>
      <c r="N59" s="29" t="str">
        <f t="shared" si="17"/>
        <v/>
      </c>
      <c r="O59" s="29" t="str">
        <f t="shared" si="3"/>
        <v/>
      </c>
      <c r="P59" s="29" t="str">
        <f t="shared" si="4"/>
        <v/>
      </c>
      <c r="Q59" s="29" t="str">
        <f t="shared" si="5"/>
        <v/>
      </c>
      <c r="R59" s="23" t="str">
        <f t="shared" si="6"/>
        <v/>
      </c>
      <c r="S59" s="5" t="str">
        <f t="shared" si="18"/>
        <v/>
      </c>
      <c r="T59" s="5" t="str">
        <f t="shared" si="19"/>
        <v/>
      </c>
      <c r="U59" s="5" t="str">
        <f t="shared" si="20"/>
        <v/>
      </c>
      <c r="V59" s="4" t="str">
        <f t="shared" si="25"/>
        <v/>
      </c>
      <c r="W59" s="6" t="str">
        <f t="shared" si="8"/>
        <v/>
      </c>
      <c r="X59" s="22" t="str">
        <f t="shared" si="9"/>
        <v/>
      </c>
      <c r="Y59" s="22" t="str">
        <f t="shared" si="10"/>
        <v/>
      </c>
      <c r="Z59" s="22"/>
      <c r="AA59" s="1">
        <v>56</v>
      </c>
      <c r="AB59" s="1">
        <v>1</v>
      </c>
      <c r="AC59" s="1" t="s">
        <v>38</v>
      </c>
      <c r="AD59" s="2">
        <v>45468</v>
      </c>
      <c r="AE59" s="2">
        <v>43781</v>
      </c>
      <c r="AF59" s="36">
        <v>165.73</v>
      </c>
      <c r="AG59" s="36">
        <v>148</v>
      </c>
      <c r="AH59" s="36">
        <v>17.73</v>
      </c>
      <c r="AI59" s="36">
        <v>1.55</v>
      </c>
      <c r="AK59" s="34" t="e">
        <f t="shared" si="21"/>
        <v>#VALUE!</v>
      </c>
      <c r="AL59" s="34" t="e">
        <f t="shared" si="22"/>
        <v>#VALUE!</v>
      </c>
      <c r="AM59" s="34" t="e">
        <f t="shared" si="23"/>
        <v>#VALUE!</v>
      </c>
      <c r="AN59" s="34" t="e">
        <f t="shared" si="24"/>
        <v>#VALUE!</v>
      </c>
    </row>
    <row r="60" spans="5:40" x14ac:dyDescent="0.25">
      <c r="E60" s="25">
        <f t="shared" si="11"/>
        <v>57</v>
      </c>
      <c r="F60" s="26" t="str">
        <f t="shared" si="12"/>
        <v/>
      </c>
      <c r="G60" s="27" t="str">
        <f t="shared" si="13"/>
        <v/>
      </c>
      <c r="H60" s="28" t="str">
        <f t="shared" si="0"/>
        <v/>
      </c>
      <c r="I60" s="3" t="str">
        <f t="shared" si="14"/>
        <v/>
      </c>
      <c r="J60" s="3" t="str">
        <f t="shared" si="1"/>
        <v xml:space="preserve"> </v>
      </c>
      <c r="K60" s="3" t="str">
        <f t="shared" si="15"/>
        <v/>
      </c>
      <c r="L60" s="30" t="str">
        <f t="shared" si="2"/>
        <v/>
      </c>
      <c r="M60" s="29" t="str">
        <f t="shared" si="16"/>
        <v/>
      </c>
      <c r="N60" s="29" t="str">
        <f t="shared" si="17"/>
        <v/>
      </c>
      <c r="O60" s="29" t="str">
        <f t="shared" si="3"/>
        <v/>
      </c>
      <c r="P60" s="29" t="str">
        <f t="shared" si="4"/>
        <v/>
      </c>
      <c r="Q60" s="29" t="str">
        <f t="shared" si="5"/>
        <v/>
      </c>
      <c r="R60" s="23" t="str">
        <f t="shared" si="6"/>
        <v/>
      </c>
      <c r="S60" s="5" t="str">
        <f t="shared" si="18"/>
        <v/>
      </c>
      <c r="T60" s="5" t="str">
        <f t="shared" si="19"/>
        <v/>
      </c>
      <c r="U60" s="5" t="str">
        <f t="shared" si="20"/>
        <v/>
      </c>
      <c r="V60" s="4" t="str">
        <f t="shared" si="25"/>
        <v/>
      </c>
      <c r="W60" s="6" t="str">
        <f t="shared" si="8"/>
        <v/>
      </c>
      <c r="X60" s="22" t="str">
        <f t="shared" si="9"/>
        <v/>
      </c>
      <c r="Y60" s="22" t="str">
        <f t="shared" si="10"/>
        <v/>
      </c>
      <c r="Z60" s="22"/>
      <c r="AA60" s="1">
        <v>57</v>
      </c>
      <c r="AB60" s="1">
        <v>1</v>
      </c>
      <c r="AC60" s="1" t="s">
        <v>38</v>
      </c>
      <c r="AD60" s="2">
        <v>45498</v>
      </c>
      <c r="AE60" s="2">
        <v>43781</v>
      </c>
      <c r="AF60" s="36">
        <v>165.73</v>
      </c>
      <c r="AG60" s="36">
        <v>151.85</v>
      </c>
      <c r="AH60" s="36">
        <v>13.88</v>
      </c>
      <c r="AI60" s="36">
        <v>1.25</v>
      </c>
      <c r="AK60" s="34" t="e">
        <f t="shared" si="21"/>
        <v>#VALUE!</v>
      </c>
      <c r="AL60" s="34" t="e">
        <f t="shared" si="22"/>
        <v>#VALUE!</v>
      </c>
      <c r="AM60" s="34" t="e">
        <f t="shared" si="23"/>
        <v>#VALUE!</v>
      </c>
      <c r="AN60" s="34" t="e">
        <f t="shared" si="24"/>
        <v>#VALUE!</v>
      </c>
    </row>
    <row r="61" spans="5:40" x14ac:dyDescent="0.25">
      <c r="E61" s="25">
        <f t="shared" si="11"/>
        <v>58</v>
      </c>
      <c r="F61" s="26" t="str">
        <f t="shared" si="12"/>
        <v/>
      </c>
      <c r="G61" s="27" t="str">
        <f t="shared" si="13"/>
        <v/>
      </c>
      <c r="H61" s="28" t="str">
        <f t="shared" si="0"/>
        <v/>
      </c>
      <c r="I61" s="3" t="str">
        <f t="shared" si="14"/>
        <v/>
      </c>
      <c r="J61" s="3" t="str">
        <f t="shared" si="1"/>
        <v xml:space="preserve"> </v>
      </c>
      <c r="K61" s="3" t="str">
        <f t="shared" si="15"/>
        <v/>
      </c>
      <c r="L61" s="30" t="str">
        <f t="shared" si="2"/>
        <v/>
      </c>
      <c r="M61" s="29" t="str">
        <f t="shared" si="16"/>
        <v/>
      </c>
      <c r="N61" s="29" t="str">
        <f t="shared" si="17"/>
        <v/>
      </c>
      <c r="O61" s="29" t="str">
        <f t="shared" si="3"/>
        <v/>
      </c>
      <c r="P61" s="29" t="str">
        <f t="shared" si="4"/>
        <v/>
      </c>
      <c r="Q61" s="29" t="str">
        <f t="shared" si="5"/>
        <v/>
      </c>
      <c r="R61" s="23" t="str">
        <f t="shared" si="6"/>
        <v/>
      </c>
      <c r="S61" s="5" t="str">
        <f t="shared" si="18"/>
        <v/>
      </c>
      <c r="T61" s="5" t="str">
        <f t="shared" si="19"/>
        <v/>
      </c>
      <c r="U61" s="5" t="str">
        <f t="shared" si="20"/>
        <v/>
      </c>
      <c r="V61" s="4" t="str">
        <f t="shared" si="25"/>
        <v/>
      </c>
      <c r="W61" s="6" t="str">
        <f t="shared" si="8"/>
        <v/>
      </c>
      <c r="X61" s="22" t="str">
        <f t="shared" si="9"/>
        <v/>
      </c>
      <c r="Y61" s="22" t="str">
        <f t="shared" si="10"/>
        <v/>
      </c>
      <c r="Z61" s="22"/>
      <c r="AA61" s="1">
        <v>58</v>
      </c>
      <c r="AB61" s="1">
        <v>1</v>
      </c>
      <c r="AC61" s="1" t="s">
        <v>38</v>
      </c>
      <c r="AD61" s="2">
        <v>45529</v>
      </c>
      <c r="AE61" s="2">
        <v>43781</v>
      </c>
      <c r="AF61" s="36">
        <v>165.73</v>
      </c>
      <c r="AG61" s="36">
        <v>154.85</v>
      </c>
      <c r="AH61" s="36">
        <v>10.88</v>
      </c>
      <c r="AI61" s="36">
        <v>0.95</v>
      </c>
      <c r="AK61" s="34" t="e">
        <f t="shared" si="21"/>
        <v>#VALUE!</v>
      </c>
      <c r="AL61" s="34" t="e">
        <f t="shared" si="22"/>
        <v>#VALUE!</v>
      </c>
      <c r="AM61" s="34" t="e">
        <f t="shared" si="23"/>
        <v>#VALUE!</v>
      </c>
      <c r="AN61" s="34" t="e">
        <f t="shared" si="24"/>
        <v>#VALUE!</v>
      </c>
    </row>
    <row r="62" spans="5:40" x14ac:dyDescent="0.25">
      <c r="E62" s="25">
        <f t="shared" si="11"/>
        <v>59</v>
      </c>
      <c r="F62" s="26" t="str">
        <f t="shared" si="12"/>
        <v/>
      </c>
      <c r="G62" s="27" t="str">
        <f t="shared" si="13"/>
        <v/>
      </c>
      <c r="H62" s="28" t="str">
        <f t="shared" si="0"/>
        <v/>
      </c>
      <c r="I62" s="3" t="str">
        <f t="shared" si="14"/>
        <v/>
      </c>
      <c r="J62" s="3" t="str">
        <f t="shared" si="1"/>
        <v xml:space="preserve"> </v>
      </c>
      <c r="K62" s="3" t="str">
        <f t="shared" si="15"/>
        <v/>
      </c>
      <c r="L62" s="30" t="str">
        <f t="shared" si="2"/>
        <v/>
      </c>
      <c r="M62" s="29" t="str">
        <f t="shared" si="16"/>
        <v/>
      </c>
      <c r="N62" s="29" t="str">
        <f t="shared" si="17"/>
        <v/>
      </c>
      <c r="O62" s="29" t="str">
        <f t="shared" si="3"/>
        <v/>
      </c>
      <c r="P62" s="29" t="str">
        <f t="shared" si="4"/>
        <v/>
      </c>
      <c r="Q62" s="29" t="str">
        <f t="shared" si="5"/>
        <v/>
      </c>
      <c r="R62" s="23" t="str">
        <f t="shared" si="6"/>
        <v/>
      </c>
      <c r="S62" s="5" t="str">
        <f t="shared" si="18"/>
        <v/>
      </c>
      <c r="T62" s="5" t="str">
        <f t="shared" si="19"/>
        <v/>
      </c>
      <c r="U62" s="5" t="str">
        <f t="shared" si="20"/>
        <v/>
      </c>
      <c r="V62" s="4" t="str">
        <f t="shared" si="25"/>
        <v/>
      </c>
      <c r="W62" s="6" t="str">
        <f t="shared" si="8"/>
        <v/>
      </c>
      <c r="X62" s="22" t="str">
        <f t="shared" si="9"/>
        <v/>
      </c>
      <c r="Y62" s="22" t="str">
        <f t="shared" si="10"/>
        <v/>
      </c>
      <c r="Z62" s="22"/>
      <c r="AA62" s="1">
        <v>59</v>
      </c>
      <c r="AB62" s="1">
        <v>1</v>
      </c>
      <c r="AC62" s="1" t="s">
        <v>38</v>
      </c>
      <c r="AD62" s="2">
        <v>45560</v>
      </c>
      <c r="AE62" s="2">
        <v>43781</v>
      </c>
      <c r="AF62" s="36">
        <v>165.73</v>
      </c>
      <c r="AG62" s="36">
        <v>158.38999999999999</v>
      </c>
      <c r="AH62" s="36">
        <v>7.34</v>
      </c>
      <c r="AI62" s="36">
        <v>0.64</v>
      </c>
      <c r="AK62" s="34" t="e">
        <f t="shared" si="21"/>
        <v>#VALUE!</v>
      </c>
      <c r="AL62" s="34" t="e">
        <f t="shared" si="22"/>
        <v>#VALUE!</v>
      </c>
      <c r="AM62" s="34" t="e">
        <f t="shared" si="23"/>
        <v>#VALUE!</v>
      </c>
      <c r="AN62" s="34" t="e">
        <f t="shared" si="24"/>
        <v>#VALUE!</v>
      </c>
    </row>
    <row r="63" spans="5:40" x14ac:dyDescent="0.25">
      <c r="E63" s="25">
        <f t="shared" si="11"/>
        <v>60</v>
      </c>
      <c r="F63" s="26" t="str">
        <f t="shared" si="12"/>
        <v/>
      </c>
      <c r="G63" s="27" t="str">
        <f t="shared" si="13"/>
        <v/>
      </c>
      <c r="H63" s="28" t="str">
        <f t="shared" si="0"/>
        <v/>
      </c>
      <c r="I63" s="3" t="str">
        <f t="shared" si="14"/>
        <v/>
      </c>
      <c r="J63" s="3" t="str">
        <f t="shared" si="1"/>
        <v xml:space="preserve"> </v>
      </c>
      <c r="K63" s="3" t="str">
        <f t="shared" si="15"/>
        <v/>
      </c>
      <c r="L63" s="30" t="str">
        <f t="shared" si="2"/>
        <v/>
      </c>
      <c r="M63" s="29" t="str">
        <f t="shared" si="16"/>
        <v/>
      </c>
      <c r="N63" s="29" t="str">
        <f t="shared" si="17"/>
        <v/>
      </c>
      <c r="O63" s="29" t="str">
        <f t="shared" si="3"/>
        <v/>
      </c>
      <c r="P63" s="29" t="str">
        <f t="shared" si="4"/>
        <v/>
      </c>
      <c r="Q63" s="29" t="str">
        <f t="shared" si="5"/>
        <v/>
      </c>
      <c r="R63" s="23" t="str">
        <f t="shared" si="6"/>
        <v/>
      </c>
      <c r="S63" s="5" t="str">
        <f t="shared" si="18"/>
        <v/>
      </c>
      <c r="T63" s="5" t="str">
        <f t="shared" si="19"/>
        <v/>
      </c>
      <c r="U63" s="5" t="str">
        <f t="shared" si="20"/>
        <v/>
      </c>
      <c r="V63" s="4" t="str">
        <f t="shared" si="25"/>
        <v/>
      </c>
      <c r="W63" s="6" t="str">
        <f t="shared" si="8"/>
        <v/>
      </c>
      <c r="X63" s="22" t="str">
        <f t="shared" si="9"/>
        <v/>
      </c>
      <c r="Y63" s="22" t="str">
        <f t="shared" si="10"/>
        <v/>
      </c>
      <c r="Z63" s="22"/>
      <c r="AA63" s="1">
        <v>60</v>
      </c>
      <c r="AB63" s="1">
        <v>1</v>
      </c>
      <c r="AC63" s="1" t="s">
        <v>38</v>
      </c>
      <c r="AD63" s="2">
        <v>45590</v>
      </c>
      <c r="AE63" s="2">
        <v>43781</v>
      </c>
      <c r="AF63" s="36">
        <v>166.3</v>
      </c>
      <c r="AG63" s="36">
        <v>162.71</v>
      </c>
      <c r="AH63" s="36">
        <v>3.59</v>
      </c>
      <c r="AI63" s="36">
        <v>0.32</v>
      </c>
      <c r="AK63" s="34" t="e">
        <f t="shared" si="21"/>
        <v>#VALUE!</v>
      </c>
      <c r="AL63" s="34" t="e">
        <f t="shared" si="22"/>
        <v>#VALUE!</v>
      </c>
      <c r="AM63" s="34" t="e">
        <f t="shared" si="23"/>
        <v>#VALUE!</v>
      </c>
      <c r="AN63" s="34" t="e">
        <f t="shared" si="24"/>
        <v>#VALUE!</v>
      </c>
    </row>
    <row r="64" spans="5:40" x14ac:dyDescent="0.25">
      <c r="E64" s="25" t="str">
        <f t="shared" si="11"/>
        <v xml:space="preserve"> </v>
      </c>
      <c r="F64" s="26" t="str">
        <f t="shared" si="12"/>
        <v xml:space="preserve"> </v>
      </c>
      <c r="G64" s="27" t="str">
        <f t="shared" si="13"/>
        <v xml:space="preserve"> </v>
      </c>
      <c r="H64" s="28" t="str">
        <f t="shared" si="0"/>
        <v xml:space="preserve"> </v>
      </c>
      <c r="I64" s="3" t="str">
        <f t="shared" si="14"/>
        <v xml:space="preserve"> </v>
      </c>
      <c r="J64" s="3" t="str">
        <f t="shared" si="1"/>
        <v xml:space="preserve"> </v>
      </c>
      <c r="K64" s="3" t="str">
        <f t="shared" si="15"/>
        <v/>
      </c>
      <c r="L64" s="30" t="str">
        <f t="shared" ref="L64:L69" si="26">IFERROR(ROUND(IF($C$18=" "," ",$C$13/K64),2),"")</f>
        <v/>
      </c>
      <c r="M64" s="29" t="str">
        <f t="shared" si="16"/>
        <v/>
      </c>
      <c r="N64" s="29" t="str">
        <f t="shared" si="17"/>
        <v/>
      </c>
      <c r="O64" s="29" t="str">
        <f t="shared" si="3"/>
        <v/>
      </c>
      <c r="P64" s="29" t="str">
        <f t="shared" si="4"/>
        <v/>
      </c>
      <c r="Q64" s="29" t="str">
        <f t="shared" si="5"/>
        <v/>
      </c>
      <c r="R64" s="23" t="str">
        <f t="shared" si="6"/>
        <v/>
      </c>
      <c r="S64" s="5" t="str">
        <f t="shared" si="18"/>
        <v/>
      </c>
      <c r="T64" s="5" t="str">
        <f t="shared" si="19"/>
        <v/>
      </c>
      <c r="U64" s="5" t="str">
        <f t="shared" si="20"/>
        <v/>
      </c>
      <c r="V64" s="4" t="str">
        <f t="shared" si="25"/>
        <v xml:space="preserve"> </v>
      </c>
      <c r="W64" s="6" t="str">
        <f t="shared" si="8"/>
        <v xml:space="preserve"> </v>
      </c>
      <c r="X64" s="22" t="str">
        <f t="shared" si="9"/>
        <v/>
      </c>
      <c r="Y64" s="22" t="str">
        <f t="shared" si="10"/>
        <v/>
      </c>
      <c r="Z64" s="22"/>
    </row>
    <row r="65" spans="5:26" x14ac:dyDescent="0.25">
      <c r="E65" s="25" t="str">
        <f t="shared" si="11"/>
        <v xml:space="preserve"> </v>
      </c>
      <c r="F65" s="26" t="str">
        <f t="shared" si="12"/>
        <v xml:space="preserve"> </v>
      </c>
      <c r="G65" s="27" t="str">
        <f t="shared" si="13"/>
        <v xml:space="preserve"> </v>
      </c>
      <c r="H65" s="28" t="str">
        <f t="shared" si="0"/>
        <v xml:space="preserve"> </v>
      </c>
      <c r="I65" s="3" t="str">
        <f t="shared" si="14"/>
        <v xml:space="preserve"> </v>
      </c>
      <c r="J65" s="3" t="str">
        <f t="shared" si="1"/>
        <v xml:space="preserve"> </v>
      </c>
      <c r="K65" s="3" t="str">
        <f t="shared" si="15"/>
        <v/>
      </c>
      <c r="L65" s="30" t="str">
        <f t="shared" si="26"/>
        <v/>
      </c>
      <c r="M65" s="29" t="str">
        <f t="shared" si="16"/>
        <v/>
      </c>
      <c r="N65" s="29" t="str">
        <f t="shared" si="17"/>
        <v/>
      </c>
      <c r="O65" s="29" t="str">
        <f t="shared" si="3"/>
        <v/>
      </c>
      <c r="P65" s="29" t="str">
        <f t="shared" si="4"/>
        <v/>
      </c>
      <c r="Q65" s="29" t="str">
        <f t="shared" si="5"/>
        <v/>
      </c>
      <c r="R65" s="23" t="str">
        <f t="shared" si="6"/>
        <v/>
      </c>
      <c r="S65" s="5" t="str">
        <f t="shared" si="18"/>
        <v/>
      </c>
      <c r="T65" s="5" t="str">
        <f t="shared" si="19"/>
        <v/>
      </c>
      <c r="U65" s="5" t="str">
        <f t="shared" si="20"/>
        <v/>
      </c>
      <c r="V65" s="4" t="str">
        <f t="shared" si="25"/>
        <v xml:space="preserve"> </v>
      </c>
      <c r="W65" s="6" t="str">
        <f t="shared" si="8"/>
        <v xml:space="preserve"> </v>
      </c>
      <c r="X65" s="22" t="str">
        <f t="shared" si="9"/>
        <v/>
      </c>
      <c r="Y65" s="22" t="str">
        <f t="shared" si="10"/>
        <v/>
      </c>
      <c r="Z65" s="22"/>
    </row>
    <row r="66" spans="5:26" x14ac:dyDescent="0.25">
      <c r="E66" s="25" t="str">
        <f t="shared" si="11"/>
        <v xml:space="preserve"> </v>
      </c>
      <c r="F66" s="26" t="str">
        <f t="shared" si="12"/>
        <v xml:space="preserve"> </v>
      </c>
      <c r="G66" s="27" t="str">
        <f t="shared" si="13"/>
        <v xml:space="preserve"> </v>
      </c>
      <c r="H66" s="28" t="str">
        <f t="shared" si="0"/>
        <v xml:space="preserve"> </v>
      </c>
      <c r="I66" s="3" t="str">
        <f t="shared" si="14"/>
        <v xml:space="preserve"> </v>
      </c>
      <c r="J66" s="3" t="str">
        <f t="shared" si="1"/>
        <v xml:space="preserve"> </v>
      </c>
      <c r="K66" s="3" t="str">
        <f t="shared" si="15"/>
        <v/>
      </c>
      <c r="L66" s="30" t="str">
        <f t="shared" si="26"/>
        <v/>
      </c>
      <c r="M66" s="29" t="str">
        <f t="shared" si="16"/>
        <v/>
      </c>
      <c r="N66" s="29" t="str">
        <f t="shared" si="17"/>
        <v/>
      </c>
      <c r="O66" s="29" t="str">
        <f t="shared" si="3"/>
        <v/>
      </c>
      <c r="P66" s="29" t="str">
        <f t="shared" si="4"/>
        <v/>
      </c>
      <c r="Q66" s="29" t="str">
        <f t="shared" si="5"/>
        <v/>
      </c>
      <c r="R66" s="23" t="str">
        <f t="shared" si="6"/>
        <v/>
      </c>
      <c r="S66" s="5" t="str">
        <f t="shared" si="18"/>
        <v/>
      </c>
      <c r="T66" s="5" t="str">
        <f t="shared" si="19"/>
        <v/>
      </c>
      <c r="U66" s="5" t="str">
        <f t="shared" si="20"/>
        <v/>
      </c>
      <c r="V66" s="4" t="str">
        <f t="shared" si="25"/>
        <v xml:space="preserve"> </v>
      </c>
      <c r="W66" s="6" t="str">
        <f t="shared" si="8"/>
        <v xml:space="preserve"> </v>
      </c>
      <c r="X66" s="22" t="str">
        <f t="shared" si="9"/>
        <v/>
      </c>
      <c r="Y66" s="22" t="str">
        <f t="shared" si="10"/>
        <v/>
      </c>
      <c r="Z66" s="22"/>
    </row>
    <row r="67" spans="5:26" x14ac:dyDescent="0.25">
      <c r="E67" s="25" t="str">
        <f t="shared" si="11"/>
        <v xml:space="preserve"> </v>
      </c>
      <c r="F67" s="26" t="str">
        <f t="shared" si="12"/>
        <v xml:space="preserve"> </v>
      </c>
      <c r="G67" s="27" t="str">
        <f t="shared" si="13"/>
        <v xml:space="preserve"> </v>
      </c>
      <c r="H67" s="28" t="str">
        <f t="shared" si="0"/>
        <v xml:space="preserve"> </v>
      </c>
      <c r="I67" s="3" t="str">
        <f t="shared" si="14"/>
        <v xml:space="preserve"> </v>
      </c>
      <c r="J67" s="3" t="str">
        <f t="shared" si="1"/>
        <v xml:space="preserve"> </v>
      </c>
      <c r="K67" s="3" t="str">
        <f t="shared" si="15"/>
        <v/>
      </c>
      <c r="L67" s="30" t="str">
        <f t="shared" si="26"/>
        <v/>
      </c>
      <c r="M67" s="29" t="str">
        <f t="shared" si="16"/>
        <v/>
      </c>
      <c r="N67" s="29" t="str">
        <f t="shared" si="17"/>
        <v/>
      </c>
      <c r="O67" s="29" t="str">
        <f t="shared" si="3"/>
        <v/>
      </c>
      <c r="P67" s="29" t="str">
        <f t="shared" si="4"/>
        <v/>
      </c>
      <c r="Q67" s="29" t="str">
        <f t="shared" si="5"/>
        <v/>
      </c>
      <c r="R67" s="23" t="str">
        <f t="shared" si="6"/>
        <v/>
      </c>
      <c r="S67" s="5" t="str">
        <f t="shared" si="18"/>
        <v/>
      </c>
      <c r="T67" s="5" t="str">
        <f t="shared" si="19"/>
        <v/>
      </c>
      <c r="U67" s="5" t="str">
        <f t="shared" si="20"/>
        <v/>
      </c>
      <c r="V67" s="4" t="str">
        <f t="shared" si="25"/>
        <v xml:space="preserve"> </v>
      </c>
      <c r="W67" s="6" t="str">
        <f t="shared" si="8"/>
        <v xml:space="preserve"> </v>
      </c>
      <c r="X67" s="22" t="str">
        <f t="shared" si="9"/>
        <v/>
      </c>
      <c r="Y67" s="22" t="str">
        <f t="shared" si="10"/>
        <v/>
      </c>
      <c r="Z67" s="22"/>
    </row>
    <row r="68" spans="5:26" x14ac:dyDescent="0.25">
      <c r="E68" s="25" t="str">
        <f t="shared" si="11"/>
        <v xml:space="preserve"> </v>
      </c>
      <c r="F68" s="26" t="str">
        <f t="shared" si="12"/>
        <v xml:space="preserve"> </v>
      </c>
      <c r="G68" s="27" t="str">
        <f t="shared" si="13"/>
        <v xml:space="preserve"> </v>
      </c>
      <c r="H68" s="28" t="str">
        <f t="shared" ref="H68:H69" si="27">IFERROR(IF(E68=" "," ",IF($E68&lt;=$C$16,$G68*$C$14/IF(DAY(DATE(MID(F68,7,4),3,0))=29,366,365),$G68*$C$15/IF(DAY(DATE(MID(F68,7,4),3,0))=29,366,365))),"")</f>
        <v xml:space="preserve"> </v>
      </c>
      <c r="I68" s="3" t="str">
        <f t="shared" si="14"/>
        <v xml:space="preserve"> </v>
      </c>
      <c r="J68" s="3" t="str">
        <f t="shared" ref="J68:J69" si="28">IFERROR(IF($C$18=" "," ",1/(1+I68))," ")</f>
        <v xml:space="preserve"> </v>
      </c>
      <c r="K68" s="3" t="str">
        <f t="shared" si="15"/>
        <v/>
      </c>
      <c r="L68" s="30" t="str">
        <f t="shared" si="26"/>
        <v/>
      </c>
      <c r="M68" s="29" t="str">
        <f t="shared" si="16"/>
        <v/>
      </c>
      <c r="N68" s="29" t="str">
        <f t="shared" si="17"/>
        <v/>
      </c>
      <c r="O68" s="29" t="str">
        <f t="shared" ref="O68:O69" si="29">IFERROR(IF($C$17=E68,M68,TRUNC($C$19-N68,2)),"")</f>
        <v/>
      </c>
      <c r="P68" s="29" t="str">
        <f t="shared" ref="P68:P69" si="30">IF(TRUNC(SUM(N68:O68),2)&lt;=0,"",TRUNC(SUM(N68:O68),2))</f>
        <v/>
      </c>
      <c r="Q68" s="29" t="str">
        <f t="shared" ref="Q68:Q69" si="31">IFERROR(IF($C$12="","",IF(TEXT(MID($C$12,1,2),"")="EX",TRUNC(M68*0.002,2))),"")</f>
        <v/>
      </c>
      <c r="R68" s="23" t="str">
        <f t="shared" ref="R68:R69" si="32">IFERROR(IF(IF(DAY(DATE(MID(F68,7,4),3,0))=29,366,365)=366,"Y","N"),"")</f>
        <v/>
      </c>
      <c r="S68" s="5" t="str">
        <f t="shared" si="18"/>
        <v/>
      </c>
      <c r="T68" s="5" t="str">
        <f t="shared" si="19"/>
        <v/>
      </c>
      <c r="U68" s="5" t="str">
        <f t="shared" si="20"/>
        <v/>
      </c>
      <c r="V68" s="4" t="str">
        <f t="shared" si="25"/>
        <v xml:space="preserve"> </v>
      </c>
      <c r="W68" s="6" t="str">
        <f t="shared" ref="W68:W69" si="33">IFERROR(IF(E68=" "," ",IF($E68&lt;=$C$16,SUM(U68-T68)*$C$14/IF(DAY(DATE(MID(U68,7,4),3,0))=29,366,365),SUM(U68-T68)*$C$15/IF(DAY(DATE(MID(U68,7,4),3,0))=29,366,365))),"")</f>
        <v xml:space="preserve"> </v>
      </c>
      <c r="X68" s="22" t="str">
        <f t="shared" ref="X68:X69" si="34">IFERROR(TRUNC(V68*M68,2),"")</f>
        <v/>
      </c>
      <c r="Y68" s="22" t="str">
        <f t="shared" ref="Y68:Y69" si="35">IFERROR(TRUNC(W68*M68,2),"")</f>
        <v/>
      </c>
      <c r="Z68" s="22"/>
    </row>
    <row r="69" spans="5:26" x14ac:dyDescent="0.25">
      <c r="E69" s="25" t="str">
        <f t="shared" ref="E69" si="36">IFERROR(IF($E68&lt;$C$17,E68+1," "),"")</f>
        <v xml:space="preserve"> </v>
      </c>
      <c r="F69" s="26" t="str">
        <f t="shared" ref="F69" si="37">IFERROR(TEXT(IF($E69&lt;=$C$17,EDATE($F$4,E69 - 1)," "),"DD/MM/YYYY"),"")</f>
        <v xml:space="preserve"> </v>
      </c>
      <c r="G69" s="27" t="str">
        <f t="shared" ref="G69" si="38">IFERROR(IF(E69=" "," ",F69-F68),"")</f>
        <v xml:space="preserve"> </v>
      </c>
      <c r="H69" s="28" t="str">
        <f t="shared" si="27"/>
        <v xml:space="preserve"> </v>
      </c>
      <c r="I69" s="3" t="str">
        <f t="shared" ref="I69" si="39">IFERROR(IF(E69=" "," ",ROUND(I68+H69+(I68*H69),6)),"")</f>
        <v xml:space="preserve"> </v>
      </c>
      <c r="J69" s="3" t="str">
        <f t="shared" si="28"/>
        <v xml:space="preserve"> </v>
      </c>
      <c r="K69" s="3" t="str">
        <f t="shared" ref="K69" si="40">IFERROR(IF($C$18=" "," ",K68+J69),"")</f>
        <v/>
      </c>
      <c r="L69" s="30" t="str">
        <f t="shared" si="26"/>
        <v/>
      </c>
      <c r="M69" s="29" t="str">
        <f t="shared" ref="M69" si="41">IFERROR(IF(IF($M68&gt;0,($M68-$O68)," ")&lt;=0,"",IF($M68&gt;0,($M68-$O68)," ")),"")</f>
        <v/>
      </c>
      <c r="N69" s="29" t="str">
        <f t="shared" ref="N69" si="42">IFERROR(IF(AND(R68="N",R69="Y"),SUM(X69:Y69),IF(AND(R68="Y",R69="N"),SUM(X69:Y69),TRUNC((M69+(0*(-1)))*(H69)+(0*(-1)),2))),"")</f>
        <v/>
      </c>
      <c r="O69" s="29" t="str">
        <f t="shared" si="29"/>
        <v/>
      </c>
      <c r="P69" s="29" t="str">
        <f t="shared" si="30"/>
        <v/>
      </c>
      <c r="Q69" s="29" t="str">
        <f t="shared" si="31"/>
        <v/>
      </c>
      <c r="R69" s="23" t="str">
        <f t="shared" si="32"/>
        <v/>
      </c>
      <c r="S69" s="5" t="str">
        <f t="shared" ref="S69" si="43">TEXT(IF(AND(R68="N",R69="Y"),EDATE($F$4,E69-2),IF(AND(R68="Y",R69="N"),EDATE($F$4,E69-2),"")),"DD/MM/YYYY")</f>
        <v/>
      </c>
      <c r="T69" s="5" t="str">
        <f t="shared" ref="T69" si="44">TEXT(IFERROR(DATE(YEAR(S69),12,31),""),"DD/MM/YYYY")</f>
        <v/>
      </c>
      <c r="U69" s="5" t="str">
        <f t="shared" ref="U69" si="45">TEXT(IFERROR(EDATE($S69,1),""),"DD/MM/YYYY")</f>
        <v/>
      </c>
      <c r="V69" s="4" t="str">
        <f t="shared" si="25"/>
        <v xml:space="preserve"> </v>
      </c>
      <c r="W69" s="6" t="str">
        <f t="shared" si="33"/>
        <v xml:space="preserve"> </v>
      </c>
      <c r="X69" s="22" t="str">
        <f t="shared" si="34"/>
        <v/>
      </c>
      <c r="Y69" s="22" t="str">
        <f t="shared" si="35"/>
        <v/>
      </c>
      <c r="Z69" s="22"/>
    </row>
    <row r="70" spans="5:26" x14ac:dyDescent="0.25">
      <c r="Q70" s="29"/>
    </row>
    <row r="71" spans="5:26" x14ac:dyDescent="0.25">
      <c r="Q71" s="29"/>
    </row>
    <row r="72" spans="5:26" x14ac:dyDescent="0.25">
      <c r="Q72" s="29"/>
    </row>
  </sheetData>
  <sheetProtection algorithmName="SHA-512" hashValue="sAvwE0AZlaeiWpbcpOC6FCWadYNKSBDLgM3CtlIqb7hWGSvdQoUtV1N2/DGINQFfJS+2TmtTX4xBXSQCNtKBsA==" saltValue="5GHHPhy8rc6VbRfzQfAVhA==" spinCount="100000" sheet="1" objects="1" scenarios="1"/>
  <mergeCells count="5">
    <mergeCell ref="E2:P2"/>
    <mergeCell ref="AA3:AI3"/>
    <mergeCell ref="AK3:AN3"/>
    <mergeCell ref="B5:C5"/>
    <mergeCell ref="B9:C9"/>
  </mergeCells>
  <conditionalFormatting sqref="R4">
    <cfRule type="cellIs" dxfId="48" priority="6" operator="equal">
      <formula>"Y"</formula>
    </cfRule>
  </conditionalFormatting>
  <conditionalFormatting sqref="M4:R4 Q70:Q72 R5:R69 M5:P5 M10:M69 O10:P69 M6:M8 O6:P8 N6:N69">
    <cfRule type="cellIs" dxfId="47" priority="5" operator="equal">
      <formula>"Y"</formula>
    </cfRule>
  </conditionalFormatting>
  <conditionalFormatting sqref="M9 O9:P9">
    <cfRule type="cellIs" dxfId="46" priority="4" operator="equal">
      <formula>"Y"</formula>
    </cfRule>
  </conditionalFormatting>
  <conditionalFormatting sqref="Q5:Q69">
    <cfRule type="cellIs" dxfId="45" priority="3" operator="equal">
      <formula>"Y"</formula>
    </cfRule>
  </conditionalFormatting>
  <conditionalFormatting sqref="AK4:AN63">
    <cfRule type="cellIs" dxfId="44" priority="1" operator="greaterThan">
      <formula>0</formula>
    </cfRule>
    <cfRule type="cellIs" dxfId="43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72"/>
  <sheetViews>
    <sheetView showGridLines="0" topLeftCell="D61" zoomScale="85" zoomScaleNormal="85" workbookViewId="0">
      <selection activeCell="AK8" sqref="AK8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12.7109375" style="1" bestFit="1" customWidth="1"/>
    <col min="18" max="18" width="8" style="22" hidden="1" customWidth="1"/>
    <col min="19" max="19" width="11.7109375" style="1" hidden="1" customWidth="1"/>
    <col min="20" max="20" width="16.140625" style="1" hidden="1" customWidth="1"/>
    <col min="21" max="21" width="11.28515625" style="1" hidden="1" customWidth="1"/>
    <col min="22" max="22" width="8.7109375" style="1" hidden="1" customWidth="1"/>
    <col min="23" max="23" width="12.28515625" style="1" hidden="1" customWidth="1"/>
    <col min="24" max="25" width="6.140625" style="1" hidden="1" customWidth="1"/>
    <col min="26" max="26" width="2.5703125" style="1" customWidth="1"/>
    <col min="27" max="27" width="3.140625" style="1" bestFit="1" customWidth="1"/>
    <col min="28" max="28" width="2.140625" style="1" bestFit="1" customWidth="1"/>
    <col min="29" max="29" width="11" style="1" bestFit="1" customWidth="1"/>
    <col min="30" max="31" width="10.85546875" style="1" bestFit="1" customWidth="1"/>
    <col min="32" max="34" width="9" style="36" bestFit="1" customWidth="1"/>
    <col min="35" max="35" width="8" style="36" bestFit="1" customWidth="1"/>
    <col min="36" max="36" width="2.7109375" style="1" customWidth="1"/>
    <col min="37" max="37" width="11.85546875" style="1" bestFit="1" customWidth="1"/>
    <col min="38" max="16384" width="11.42578125" style="1"/>
  </cols>
  <sheetData>
    <row r="1" spans="2:40" x14ac:dyDescent="0.25">
      <c r="F1" s="1"/>
      <c r="G1" s="1"/>
      <c r="R1" s="1"/>
    </row>
    <row r="2" spans="2:40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3"/>
      <c r="R2" s="24"/>
      <c r="S2" s="24"/>
      <c r="T2" s="24"/>
      <c r="U2" s="24"/>
      <c r="V2" s="24"/>
      <c r="W2" s="24"/>
      <c r="X2" s="24"/>
      <c r="Y2" s="24"/>
      <c r="Z2" s="35"/>
    </row>
    <row r="3" spans="2:40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0" t="s">
        <v>22</v>
      </c>
      <c r="Q3" s="21" t="s">
        <v>32</v>
      </c>
      <c r="R3" s="19" t="s">
        <v>23</v>
      </c>
      <c r="S3" s="20" t="s">
        <v>24</v>
      </c>
      <c r="T3" s="20" t="s">
        <v>25</v>
      </c>
      <c r="U3" s="20" t="s">
        <v>26</v>
      </c>
      <c r="V3" s="20" t="s">
        <v>27</v>
      </c>
      <c r="W3" s="20" t="s">
        <v>28</v>
      </c>
      <c r="X3" s="20" t="s">
        <v>29</v>
      </c>
      <c r="Y3" s="21" t="s">
        <v>30</v>
      </c>
      <c r="Z3" s="22"/>
      <c r="AA3" s="40" t="s">
        <v>40</v>
      </c>
      <c r="AB3" s="41"/>
      <c r="AC3" s="41"/>
      <c r="AD3" s="41"/>
      <c r="AE3" s="41"/>
      <c r="AF3" s="41"/>
      <c r="AG3" s="41"/>
      <c r="AH3" s="41"/>
      <c r="AI3" s="42"/>
      <c r="AK3" s="40" t="s">
        <v>39</v>
      </c>
      <c r="AL3" s="41"/>
      <c r="AM3" s="41"/>
      <c r="AN3" s="42"/>
    </row>
    <row r="4" spans="2:40" x14ac:dyDescent="0.25">
      <c r="E4" s="25">
        <f>IFERROR(IF($C$18&gt;0,1," "),"")</f>
        <v>1</v>
      </c>
      <c r="F4" s="26" t="str">
        <f>IFERROR(IF(C18&gt;0,TEXT(IF($E$4&gt;0,C18," "),"DD/MM/YYYY")," "),"")</f>
        <v>19/11/2019</v>
      </c>
      <c r="G4" s="27" t="str">
        <f>IFERROR(IF(E4=" "," ",F4-$C$11),"")</f>
        <v/>
      </c>
      <c r="H4" s="28" t="str">
        <f t="shared" ref="H4:H67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67" si="1">IFERROR(IF($C$18=" "," ",1/(1+I4))," ")</f>
        <v xml:space="preserve"> </v>
      </c>
      <c r="K4" s="3" t="str">
        <f>IFERROR(IF($C$18=" "," ",L1+J4),"")</f>
        <v/>
      </c>
      <c r="L4" s="30" t="str">
        <f t="shared" ref="L4:L63" si="2">IFERROR(TRUNC(IF($C$18=" "," ",$C$13/K4),2),"")</f>
        <v/>
      </c>
      <c r="M4" s="29">
        <f>IFERROR(IF(C13&gt;0,C13," "),"")</f>
        <v>14520</v>
      </c>
      <c r="N4" s="29" t="str">
        <f>IFERROR(IF(AND(R2="N",R4="Y"),SUM(X4:Y4),IF(AND(R2="Y",R4="N"),SUM(X4:Y4),TRUNC((M4+(0*(-1)))*(H4)+(0*(-1)),2))),"")</f>
        <v/>
      </c>
      <c r="O4" s="29" t="str">
        <f t="shared" ref="O4:O67" si="3">IFERROR(IF($C$17=E4,M4,TRUNC($C$19-N4,2)),"")</f>
        <v/>
      </c>
      <c r="P4" s="29" t="str">
        <f t="shared" ref="P4:P67" si="4">IF(TRUNC(SUM(N4:O4),2)&lt;=0,"",TRUNC(SUM(N4:O4),2))</f>
        <v/>
      </c>
      <c r="Q4" s="29">
        <f t="shared" ref="Q4:Q67" si="5">IFERROR(IF($C$12="","",IF(TEXT(MID($C$12,1,2),"")="EX",TRUNC(M4*0.002,2))),"")</f>
        <v>29.04</v>
      </c>
      <c r="R4" s="23" t="str">
        <f t="shared" ref="R4:R67" si="6">IFERROR(IF(IF(DAY(DATE(MID(F4,7,4),3,0))=29,366,365)=366,"Y","N"),"")</f>
        <v>N</v>
      </c>
      <c r="S4" s="5" t="str">
        <f>TEXT(IF(AND(R2="N",R4="Y"),EDATE($F$4,E4-2),IF(AND(R2="Y",R4="N"),EDATE($F$4,E4-2),"")),"DD/MM/YYYY")</f>
        <v/>
      </c>
      <c r="T4" s="5" t="str">
        <f>TEXT(IFERROR(DATE(YEAR(S4),12,31),""),"DD/MM/YYYY")</f>
        <v/>
      </c>
      <c r="U4" s="5" t="str">
        <f>TEXT(IFERROR(EDATE($S4,1),""),"DD/MM/YYYY")</f>
        <v/>
      </c>
      <c r="V4" s="4" t="str">
        <f t="shared" ref="V4:V35" si="7">IFERROR(IF(E4=" "," ",IF($E4&lt;=$C$16,SUM(T4-S4)*$C$14/IF(DAY(DATE(MID(T4,7,4),3,0))=29,366,365),SUM(T4-S4)*$C$15/IF(DAY(DATE(MID(T4,7,4),3,0))=29,366,365))),"")</f>
        <v/>
      </c>
      <c r="W4" s="6" t="str">
        <f t="shared" ref="W4:W67" si="8">IFERROR(IF(E4=" "," ",IF($E4&lt;=$C$16,SUM(U4-T4)*$C$14/IF(DAY(DATE(MID(U4,7,4),3,0))=29,366,365),SUM(U4-T4)*$C$15/IF(DAY(DATE(MID(U4,7,4),3,0))=29,366,365))),"")</f>
        <v/>
      </c>
      <c r="X4" s="22" t="str">
        <f t="shared" ref="X4:X67" si="9">IFERROR(TRUNC(V4*M4,2),"")</f>
        <v/>
      </c>
      <c r="Y4" s="22" t="str">
        <f t="shared" ref="Y4:Y67" si="10">IFERROR(TRUNC(W4*M4,2),"")</f>
        <v/>
      </c>
      <c r="Z4" s="22"/>
      <c r="AA4" s="1">
        <v>1</v>
      </c>
      <c r="AB4" s="1">
        <v>1</v>
      </c>
      <c r="AC4" s="1" t="s">
        <v>37</v>
      </c>
      <c r="AD4" s="2">
        <v>43788</v>
      </c>
      <c r="AE4" s="2">
        <v>43780</v>
      </c>
      <c r="AF4" s="36">
        <v>379.16</v>
      </c>
      <c r="AG4" s="36">
        <v>315.83999999999997</v>
      </c>
      <c r="AH4" s="36">
        <v>63.32</v>
      </c>
      <c r="AI4" s="36">
        <v>29.04</v>
      </c>
      <c r="AK4" s="34" t="e">
        <f>AF4-P4</f>
        <v>#VALUE!</v>
      </c>
      <c r="AL4" s="34" t="e">
        <f>AG4-O4</f>
        <v>#VALUE!</v>
      </c>
      <c r="AM4" s="34" t="e">
        <f>N4-AH4</f>
        <v>#VALUE!</v>
      </c>
      <c r="AN4" s="34">
        <f>+Q4-AI4</f>
        <v>0</v>
      </c>
    </row>
    <row r="5" spans="2:40" x14ac:dyDescent="0.25">
      <c r="B5" s="37" t="s">
        <v>0</v>
      </c>
      <c r="C5" s="38"/>
      <c r="E5" s="25">
        <f t="shared" ref="E5:E68" si="11">IFERROR(IF($E4&lt;$C$17,E4+1," "),"")</f>
        <v>2</v>
      </c>
      <c r="F5" s="26" t="str">
        <f t="shared" ref="F5:F68" si="12">IFERROR(TEXT(IF($E5&lt;=$C$17,EDATE($F$4,E5 - 1)," "),"DD/MM/YYYY"),"")</f>
        <v/>
      </c>
      <c r="G5" s="27" t="str">
        <f t="shared" ref="G5:G68" si="13">IFERROR(IF(E5=" "," ",F5-F4),"")</f>
        <v/>
      </c>
      <c r="H5" s="28" t="str">
        <f t="shared" si="0"/>
        <v/>
      </c>
      <c r="I5" s="3" t="str">
        <f t="shared" ref="I5:I68" si="14">IFERROR(IF(E5=" "," ",ROUND(I4+H5+(I4*H5),6)),"")</f>
        <v/>
      </c>
      <c r="J5" s="3" t="str">
        <f t="shared" si="1"/>
        <v xml:space="preserve"> </v>
      </c>
      <c r="K5" s="3" t="str">
        <f t="shared" ref="K5:K68" si="15">IFERROR(IF($C$18=" "," ",K4+J5),"")</f>
        <v/>
      </c>
      <c r="L5" s="30" t="str">
        <f t="shared" si="2"/>
        <v/>
      </c>
      <c r="M5" s="29" t="str">
        <f t="shared" ref="M5:M68" si="16">IFERROR(IF(IF($M4&gt;0,($M4-$O4)," ")&lt;=0,"",IF($M4&gt;0,($M4-$O4)," ")),"")</f>
        <v/>
      </c>
      <c r="N5" s="29" t="str">
        <f t="shared" ref="N5:N68" si="17">IFERROR(IF(AND(R4="N",R5="Y"),SUM(X5:Y5),IF(AND(R4="Y",R5="N"),SUM(X5:Y5),TRUNC((M5+(0*(-1)))*(H5)+(0*(-1)),2))),"")</f>
        <v/>
      </c>
      <c r="O5" s="29" t="str">
        <f t="shared" si="3"/>
        <v/>
      </c>
      <c r="P5" s="29" t="str">
        <f t="shared" si="4"/>
        <v/>
      </c>
      <c r="Q5" s="29" t="str">
        <f t="shared" si="5"/>
        <v/>
      </c>
      <c r="R5" s="23" t="str">
        <f t="shared" si="6"/>
        <v/>
      </c>
      <c r="S5" s="5" t="str">
        <f t="shared" ref="S5:S68" si="18">TEXT(IF(AND(R4="N",R5="Y"),EDATE($F$4,E5-2),IF(AND(R4="Y",R5="N"),EDATE($F$4,E5-2),"")),"DD/MM/YYYY")</f>
        <v/>
      </c>
      <c r="T5" s="5" t="str">
        <f t="shared" ref="T5:T68" si="19">TEXT(IFERROR(DATE(YEAR(S5),12,31),""),"DD/MM/YYYY")</f>
        <v/>
      </c>
      <c r="U5" s="5" t="str">
        <f t="shared" ref="U5:U68" si="20">TEXT(IFERROR(EDATE($S5,1),""),"DD/MM/YYYY")</f>
        <v/>
      </c>
      <c r="V5" s="4" t="str">
        <f t="shared" si="7"/>
        <v/>
      </c>
      <c r="W5" s="6" t="str">
        <f t="shared" si="8"/>
        <v/>
      </c>
      <c r="X5" s="22" t="str">
        <f t="shared" si="9"/>
        <v/>
      </c>
      <c r="Y5" s="22" t="str">
        <f t="shared" si="10"/>
        <v/>
      </c>
      <c r="Z5" s="22"/>
      <c r="AA5" s="1">
        <v>2</v>
      </c>
      <c r="AB5" s="1">
        <v>1</v>
      </c>
      <c r="AC5" s="1" t="s">
        <v>38</v>
      </c>
      <c r="AD5" s="2">
        <v>43818</v>
      </c>
      <c r="AE5" s="2">
        <v>43780</v>
      </c>
      <c r="AF5" s="36">
        <v>379.16</v>
      </c>
      <c r="AG5" s="36">
        <v>146.84</v>
      </c>
      <c r="AH5" s="36">
        <v>232.32</v>
      </c>
      <c r="AI5" s="36">
        <v>28.4</v>
      </c>
      <c r="AK5" s="34" t="e">
        <f t="shared" ref="AK5:AK63" si="21">AF5-P5</f>
        <v>#VALUE!</v>
      </c>
      <c r="AL5" s="34" t="e">
        <f t="shared" ref="AL5:AL63" si="22">AG5-O5</f>
        <v>#VALUE!</v>
      </c>
      <c r="AM5" s="34" t="e">
        <f t="shared" ref="AM5:AM63" si="23">N5-AH5</f>
        <v>#VALUE!</v>
      </c>
      <c r="AN5" s="34" t="e">
        <f t="shared" ref="AN5:AN63" si="24">+Q5-AI5</f>
        <v>#VALUE!</v>
      </c>
    </row>
    <row r="6" spans="2:40" x14ac:dyDescent="0.25">
      <c r="E6" s="25">
        <f t="shared" si="11"/>
        <v>3</v>
      </c>
      <c r="F6" s="26" t="str">
        <f t="shared" si="12"/>
        <v/>
      </c>
      <c r="G6" s="27" t="str">
        <f t="shared" si="13"/>
        <v/>
      </c>
      <c r="H6" s="28" t="str">
        <f t="shared" si="0"/>
        <v/>
      </c>
      <c r="I6" s="3" t="str">
        <f t="shared" si="14"/>
        <v/>
      </c>
      <c r="J6" s="3" t="str">
        <f t="shared" si="1"/>
        <v xml:space="preserve"> </v>
      </c>
      <c r="K6" s="3" t="str">
        <f t="shared" si="15"/>
        <v/>
      </c>
      <c r="L6" s="30" t="str">
        <f t="shared" si="2"/>
        <v/>
      </c>
      <c r="M6" s="29" t="str">
        <f t="shared" si="16"/>
        <v/>
      </c>
      <c r="N6" s="29" t="str">
        <f t="shared" si="17"/>
        <v/>
      </c>
      <c r="O6" s="29" t="str">
        <f t="shared" si="3"/>
        <v/>
      </c>
      <c r="P6" s="29" t="str">
        <f t="shared" si="4"/>
        <v/>
      </c>
      <c r="Q6" s="29" t="str">
        <f t="shared" si="5"/>
        <v/>
      </c>
      <c r="R6" s="23" t="str">
        <f t="shared" si="6"/>
        <v/>
      </c>
      <c r="S6" s="5" t="str">
        <f t="shared" si="18"/>
        <v/>
      </c>
      <c r="T6" s="5" t="str">
        <f t="shared" si="19"/>
        <v/>
      </c>
      <c r="U6" s="5" t="str">
        <f t="shared" si="20"/>
        <v/>
      </c>
      <c r="V6" s="4" t="str">
        <f t="shared" si="7"/>
        <v/>
      </c>
      <c r="W6" s="6" t="str">
        <f t="shared" si="8"/>
        <v/>
      </c>
      <c r="X6" s="22" t="str">
        <f t="shared" si="9"/>
        <v/>
      </c>
      <c r="Y6" s="22" t="str">
        <f t="shared" si="10"/>
        <v/>
      </c>
      <c r="Z6" s="22"/>
      <c r="AA6" s="1">
        <v>3</v>
      </c>
      <c r="AB6" s="1">
        <v>1</v>
      </c>
      <c r="AC6" s="1" t="s">
        <v>38</v>
      </c>
      <c r="AD6" s="2">
        <v>43849</v>
      </c>
      <c r="AE6" s="2">
        <v>43780</v>
      </c>
      <c r="AF6" s="36">
        <v>379.16</v>
      </c>
      <c r="AG6" s="36">
        <v>141.97999999999999</v>
      </c>
      <c r="AH6" s="36">
        <v>237.18</v>
      </c>
      <c r="AI6" s="36">
        <v>28.11</v>
      </c>
      <c r="AK6" s="34" t="e">
        <f t="shared" si="21"/>
        <v>#VALUE!</v>
      </c>
      <c r="AL6" s="34" t="e">
        <f t="shared" si="22"/>
        <v>#VALUE!</v>
      </c>
      <c r="AM6" s="34" t="e">
        <f t="shared" si="23"/>
        <v>#VALUE!</v>
      </c>
      <c r="AN6" s="34" t="e">
        <f t="shared" si="24"/>
        <v>#VALUE!</v>
      </c>
    </row>
    <row r="7" spans="2:40" x14ac:dyDescent="0.25">
      <c r="B7" s="18" t="s">
        <v>16</v>
      </c>
      <c r="C7" s="17" t="s">
        <v>42</v>
      </c>
      <c r="E7" s="25">
        <f t="shared" si="11"/>
        <v>4</v>
      </c>
      <c r="F7" s="26" t="str">
        <f t="shared" si="12"/>
        <v/>
      </c>
      <c r="G7" s="27" t="str">
        <f t="shared" si="13"/>
        <v/>
      </c>
      <c r="H7" s="28" t="str">
        <f t="shared" si="0"/>
        <v/>
      </c>
      <c r="I7" s="3" t="str">
        <f t="shared" si="14"/>
        <v/>
      </c>
      <c r="J7" s="3" t="str">
        <f t="shared" si="1"/>
        <v xml:space="preserve"> </v>
      </c>
      <c r="K7" s="3" t="str">
        <f t="shared" si="15"/>
        <v/>
      </c>
      <c r="L7" s="30" t="str">
        <f t="shared" si="2"/>
        <v/>
      </c>
      <c r="M7" s="29" t="str">
        <f t="shared" si="16"/>
        <v/>
      </c>
      <c r="N7" s="29" t="str">
        <f t="shared" si="17"/>
        <v/>
      </c>
      <c r="O7" s="29" t="str">
        <f t="shared" si="3"/>
        <v/>
      </c>
      <c r="P7" s="29" t="str">
        <f t="shared" si="4"/>
        <v/>
      </c>
      <c r="Q7" s="29" t="str">
        <f t="shared" si="5"/>
        <v/>
      </c>
      <c r="R7" s="23" t="str">
        <f t="shared" si="6"/>
        <v/>
      </c>
      <c r="S7" s="5" t="str">
        <f t="shared" si="18"/>
        <v/>
      </c>
      <c r="T7" s="5" t="str">
        <f t="shared" si="19"/>
        <v/>
      </c>
      <c r="U7" s="5" t="str">
        <f t="shared" si="20"/>
        <v/>
      </c>
      <c r="V7" s="4" t="str">
        <f t="shared" si="7"/>
        <v/>
      </c>
      <c r="W7" s="6" t="str">
        <f t="shared" si="8"/>
        <v/>
      </c>
      <c r="X7" s="22" t="str">
        <f t="shared" si="9"/>
        <v/>
      </c>
      <c r="Y7" s="22" t="str">
        <f t="shared" si="10"/>
        <v/>
      </c>
      <c r="Z7" s="22"/>
      <c r="AA7" s="1">
        <v>4</v>
      </c>
      <c r="AB7" s="1">
        <v>1</v>
      </c>
      <c r="AC7" s="1" t="s">
        <v>38</v>
      </c>
      <c r="AD7" s="2">
        <v>43880</v>
      </c>
      <c r="AE7" s="2">
        <v>43780</v>
      </c>
      <c r="AF7" s="36">
        <v>379.16</v>
      </c>
      <c r="AG7" s="36">
        <v>144.62</v>
      </c>
      <c r="AH7" s="36">
        <v>234.54</v>
      </c>
      <c r="AI7" s="36">
        <v>27.83</v>
      </c>
      <c r="AK7" s="34" t="e">
        <f t="shared" si="21"/>
        <v>#VALUE!</v>
      </c>
      <c r="AL7" s="34" t="e">
        <f t="shared" si="22"/>
        <v>#VALUE!</v>
      </c>
      <c r="AM7" s="34" t="e">
        <f t="shared" si="23"/>
        <v>#VALUE!</v>
      </c>
      <c r="AN7" s="34" t="e">
        <f t="shared" si="24"/>
        <v>#VALUE!</v>
      </c>
    </row>
    <row r="8" spans="2:40" x14ac:dyDescent="0.25">
      <c r="E8" s="25">
        <f t="shared" si="11"/>
        <v>5</v>
      </c>
      <c r="F8" s="26" t="str">
        <f t="shared" si="12"/>
        <v/>
      </c>
      <c r="G8" s="27" t="str">
        <f t="shared" si="13"/>
        <v/>
      </c>
      <c r="H8" s="28" t="str">
        <f t="shared" si="0"/>
        <v/>
      </c>
      <c r="I8" s="3" t="str">
        <f t="shared" si="14"/>
        <v/>
      </c>
      <c r="J8" s="3" t="str">
        <f t="shared" si="1"/>
        <v xml:space="preserve"> </v>
      </c>
      <c r="K8" s="3" t="str">
        <f t="shared" si="15"/>
        <v/>
      </c>
      <c r="L8" s="30" t="str">
        <f t="shared" si="2"/>
        <v/>
      </c>
      <c r="M8" s="29" t="str">
        <f t="shared" si="16"/>
        <v/>
      </c>
      <c r="N8" s="29" t="str">
        <f t="shared" si="17"/>
        <v/>
      </c>
      <c r="O8" s="29" t="str">
        <f t="shared" si="3"/>
        <v/>
      </c>
      <c r="P8" s="29" t="str">
        <f t="shared" si="4"/>
        <v/>
      </c>
      <c r="Q8" s="29" t="str">
        <f t="shared" si="5"/>
        <v/>
      </c>
      <c r="R8" s="23" t="str">
        <f t="shared" si="6"/>
        <v/>
      </c>
      <c r="S8" s="5" t="str">
        <f t="shared" si="18"/>
        <v/>
      </c>
      <c r="T8" s="5" t="str">
        <f t="shared" si="19"/>
        <v/>
      </c>
      <c r="U8" s="5" t="str">
        <f t="shared" si="20"/>
        <v/>
      </c>
      <c r="V8" s="4" t="str">
        <f t="shared" si="7"/>
        <v/>
      </c>
      <c r="W8" s="6" t="str">
        <f t="shared" si="8"/>
        <v/>
      </c>
      <c r="X8" s="22" t="str">
        <f t="shared" si="9"/>
        <v/>
      </c>
      <c r="Y8" s="22" t="str">
        <f t="shared" si="10"/>
        <v/>
      </c>
      <c r="Z8" s="22"/>
      <c r="AA8" s="1">
        <v>5</v>
      </c>
      <c r="AB8" s="1">
        <v>1</v>
      </c>
      <c r="AC8" s="1" t="s">
        <v>38</v>
      </c>
      <c r="AD8" s="2">
        <v>43909</v>
      </c>
      <c r="AE8" s="2">
        <v>43780</v>
      </c>
      <c r="AF8" s="36">
        <v>379.16</v>
      </c>
      <c r="AG8" s="36">
        <v>162.04</v>
      </c>
      <c r="AH8" s="36">
        <v>217.12</v>
      </c>
      <c r="AI8" s="36">
        <v>27.54</v>
      </c>
      <c r="AK8" s="34" t="e">
        <f t="shared" si="21"/>
        <v>#VALUE!</v>
      </c>
      <c r="AL8" s="34" t="e">
        <f t="shared" si="22"/>
        <v>#VALUE!</v>
      </c>
      <c r="AM8" s="34" t="e">
        <f t="shared" si="23"/>
        <v>#VALUE!</v>
      </c>
      <c r="AN8" s="34" t="e">
        <f t="shared" si="24"/>
        <v>#VALUE!</v>
      </c>
    </row>
    <row r="9" spans="2:40" x14ac:dyDescent="0.25">
      <c r="B9" s="37" t="s">
        <v>15</v>
      </c>
      <c r="C9" s="38"/>
      <c r="E9" s="25">
        <f t="shared" si="11"/>
        <v>6</v>
      </c>
      <c r="F9" s="26" t="str">
        <f t="shared" si="12"/>
        <v/>
      </c>
      <c r="G9" s="27" t="str">
        <f t="shared" si="13"/>
        <v/>
      </c>
      <c r="H9" s="28" t="str">
        <f t="shared" si="0"/>
        <v/>
      </c>
      <c r="I9" s="3" t="str">
        <f t="shared" si="14"/>
        <v/>
      </c>
      <c r="J9" s="3" t="str">
        <f t="shared" si="1"/>
        <v xml:space="preserve"> </v>
      </c>
      <c r="K9" s="3" t="str">
        <f t="shared" si="15"/>
        <v/>
      </c>
      <c r="L9" s="30" t="str">
        <f t="shared" si="2"/>
        <v/>
      </c>
      <c r="M9" s="29" t="str">
        <f t="shared" si="16"/>
        <v/>
      </c>
      <c r="N9" s="29" t="str">
        <f t="shared" si="17"/>
        <v/>
      </c>
      <c r="O9" s="29" t="str">
        <f t="shared" si="3"/>
        <v/>
      </c>
      <c r="P9" s="29" t="str">
        <f t="shared" si="4"/>
        <v/>
      </c>
      <c r="Q9" s="29" t="str">
        <f t="shared" si="5"/>
        <v/>
      </c>
      <c r="R9" s="23" t="str">
        <f t="shared" si="6"/>
        <v/>
      </c>
      <c r="S9" s="5" t="str">
        <f t="shared" si="18"/>
        <v/>
      </c>
      <c r="T9" s="5" t="str">
        <f t="shared" si="19"/>
        <v/>
      </c>
      <c r="U9" s="5" t="str">
        <f t="shared" si="20"/>
        <v/>
      </c>
      <c r="V9" s="4" t="str">
        <f t="shared" si="7"/>
        <v/>
      </c>
      <c r="W9" s="6" t="str">
        <f t="shared" si="8"/>
        <v/>
      </c>
      <c r="X9" s="22" t="str">
        <f t="shared" si="9"/>
        <v/>
      </c>
      <c r="Y9" s="22" t="str">
        <f t="shared" si="10"/>
        <v/>
      </c>
      <c r="Z9" s="22"/>
      <c r="AA9" s="1">
        <v>6</v>
      </c>
      <c r="AB9" s="1">
        <v>1</v>
      </c>
      <c r="AC9" s="1" t="s">
        <v>38</v>
      </c>
      <c r="AD9" s="2">
        <v>43940</v>
      </c>
      <c r="AE9" s="2">
        <v>43780</v>
      </c>
      <c r="AF9" s="36">
        <v>379.16</v>
      </c>
      <c r="AG9" s="36">
        <v>149.79</v>
      </c>
      <c r="AH9" s="36">
        <v>229.37</v>
      </c>
      <c r="AI9" s="36">
        <v>27.21</v>
      </c>
      <c r="AK9" s="34" t="e">
        <f t="shared" si="21"/>
        <v>#VALUE!</v>
      </c>
      <c r="AL9" s="34" t="e">
        <f t="shared" si="22"/>
        <v>#VALUE!</v>
      </c>
      <c r="AM9" s="34" t="e">
        <f t="shared" si="23"/>
        <v>#VALUE!</v>
      </c>
      <c r="AN9" s="34" t="e">
        <f t="shared" si="24"/>
        <v>#VALUE!</v>
      </c>
    </row>
    <row r="10" spans="2:40" x14ac:dyDescent="0.25">
      <c r="E10" s="25">
        <f t="shared" si="11"/>
        <v>7</v>
      </c>
      <c r="F10" s="26" t="str">
        <f t="shared" si="12"/>
        <v/>
      </c>
      <c r="G10" s="27" t="str">
        <f t="shared" si="13"/>
        <v/>
      </c>
      <c r="H10" s="28" t="str">
        <f t="shared" si="0"/>
        <v/>
      </c>
      <c r="I10" s="3" t="str">
        <f t="shared" si="14"/>
        <v/>
      </c>
      <c r="J10" s="3" t="str">
        <f t="shared" si="1"/>
        <v xml:space="preserve"> </v>
      </c>
      <c r="K10" s="3" t="str">
        <f t="shared" si="15"/>
        <v/>
      </c>
      <c r="L10" s="30" t="str">
        <f t="shared" si="2"/>
        <v/>
      </c>
      <c r="M10" s="29" t="str">
        <f t="shared" si="16"/>
        <v/>
      </c>
      <c r="N10" s="29" t="str">
        <f t="shared" si="17"/>
        <v/>
      </c>
      <c r="O10" s="29" t="str">
        <f t="shared" si="3"/>
        <v/>
      </c>
      <c r="P10" s="29" t="str">
        <f t="shared" si="4"/>
        <v/>
      </c>
      <c r="Q10" s="29" t="str">
        <f t="shared" si="5"/>
        <v/>
      </c>
      <c r="R10" s="23" t="str">
        <f t="shared" si="6"/>
        <v/>
      </c>
      <c r="S10" s="5" t="str">
        <f t="shared" si="18"/>
        <v/>
      </c>
      <c r="T10" s="5" t="str">
        <f t="shared" si="19"/>
        <v/>
      </c>
      <c r="U10" s="5" t="str">
        <f t="shared" si="20"/>
        <v/>
      </c>
      <c r="V10" s="4" t="str">
        <f t="shared" si="7"/>
        <v/>
      </c>
      <c r="W10" s="6" t="str">
        <f t="shared" si="8"/>
        <v/>
      </c>
      <c r="X10" s="22" t="str">
        <f t="shared" si="9"/>
        <v/>
      </c>
      <c r="Y10" s="22" t="str">
        <f t="shared" si="10"/>
        <v/>
      </c>
      <c r="Z10" s="22"/>
      <c r="AA10" s="1">
        <v>7</v>
      </c>
      <c r="AB10" s="1">
        <v>1</v>
      </c>
      <c r="AC10" s="1" t="s">
        <v>38</v>
      </c>
      <c r="AD10" s="2">
        <v>43970</v>
      </c>
      <c r="AE10" s="2">
        <v>43780</v>
      </c>
      <c r="AF10" s="36">
        <v>379.16</v>
      </c>
      <c r="AG10" s="36">
        <v>159.63999999999999</v>
      </c>
      <c r="AH10" s="36">
        <v>219.52</v>
      </c>
      <c r="AI10" s="36">
        <v>26.91</v>
      </c>
      <c r="AK10" s="34" t="e">
        <f t="shared" si="21"/>
        <v>#VALUE!</v>
      </c>
      <c r="AL10" s="34" t="e">
        <f t="shared" si="22"/>
        <v>#VALUE!</v>
      </c>
      <c r="AM10" s="34" t="e">
        <f t="shared" si="23"/>
        <v>#VALUE!</v>
      </c>
      <c r="AN10" s="34" t="e">
        <f t="shared" si="24"/>
        <v>#VALUE!</v>
      </c>
    </row>
    <row r="11" spans="2:40" x14ac:dyDescent="0.25">
      <c r="B11" s="16" t="s">
        <v>14</v>
      </c>
      <c r="C11" s="15">
        <v>43780</v>
      </c>
      <c r="E11" s="25">
        <f t="shared" si="11"/>
        <v>8</v>
      </c>
      <c r="F11" s="26" t="str">
        <f t="shared" si="12"/>
        <v/>
      </c>
      <c r="G11" s="27" t="str">
        <f t="shared" si="13"/>
        <v/>
      </c>
      <c r="H11" s="28" t="str">
        <f t="shared" si="0"/>
        <v/>
      </c>
      <c r="I11" s="3" t="str">
        <f t="shared" si="14"/>
        <v/>
      </c>
      <c r="J11" s="3" t="str">
        <f t="shared" si="1"/>
        <v xml:space="preserve"> </v>
      </c>
      <c r="K11" s="3" t="str">
        <f t="shared" si="15"/>
        <v/>
      </c>
      <c r="L11" s="30" t="str">
        <f t="shared" si="2"/>
        <v/>
      </c>
      <c r="M11" s="29" t="str">
        <f t="shared" si="16"/>
        <v/>
      </c>
      <c r="N11" s="29" t="str">
        <f t="shared" si="17"/>
        <v/>
      </c>
      <c r="O11" s="29" t="str">
        <f t="shared" si="3"/>
        <v/>
      </c>
      <c r="P11" s="29" t="str">
        <f t="shared" si="4"/>
        <v/>
      </c>
      <c r="Q11" s="29" t="str">
        <f t="shared" si="5"/>
        <v/>
      </c>
      <c r="R11" s="23" t="str">
        <f t="shared" si="6"/>
        <v/>
      </c>
      <c r="S11" s="5" t="str">
        <f t="shared" si="18"/>
        <v/>
      </c>
      <c r="T11" s="5" t="str">
        <f t="shared" si="19"/>
        <v/>
      </c>
      <c r="U11" s="5" t="str">
        <f t="shared" si="20"/>
        <v/>
      </c>
      <c r="V11" s="4" t="str">
        <f t="shared" si="7"/>
        <v/>
      </c>
      <c r="W11" s="6" t="str">
        <f t="shared" si="8"/>
        <v/>
      </c>
      <c r="X11" s="22" t="str">
        <f t="shared" si="9"/>
        <v/>
      </c>
      <c r="Y11" s="22" t="str">
        <f t="shared" si="10"/>
        <v/>
      </c>
      <c r="Z11" s="22"/>
      <c r="AA11" s="1">
        <v>8</v>
      </c>
      <c r="AB11" s="1">
        <v>1</v>
      </c>
      <c r="AC11" s="1" t="s">
        <v>38</v>
      </c>
      <c r="AD11" s="2">
        <v>44001</v>
      </c>
      <c r="AE11" s="2">
        <v>43780</v>
      </c>
      <c r="AF11" s="36">
        <v>379.16</v>
      </c>
      <c r="AG11" s="36">
        <v>155.01</v>
      </c>
      <c r="AH11" s="36">
        <v>224.15</v>
      </c>
      <c r="AI11" s="36">
        <v>26.59</v>
      </c>
      <c r="AK11" s="34" t="e">
        <f t="shared" si="21"/>
        <v>#VALUE!</v>
      </c>
      <c r="AL11" s="34" t="e">
        <f t="shared" si="22"/>
        <v>#VALUE!</v>
      </c>
      <c r="AM11" s="34" t="e">
        <f t="shared" si="23"/>
        <v>#VALUE!</v>
      </c>
      <c r="AN11" s="34" t="e">
        <f t="shared" si="24"/>
        <v>#VALUE!</v>
      </c>
    </row>
    <row r="12" spans="2:40" x14ac:dyDescent="0.25">
      <c r="B12" s="11" t="s">
        <v>33</v>
      </c>
      <c r="C12" s="32" t="s">
        <v>43</v>
      </c>
      <c r="E12" s="25">
        <f t="shared" si="11"/>
        <v>9</v>
      </c>
      <c r="F12" s="26" t="str">
        <f t="shared" si="12"/>
        <v/>
      </c>
      <c r="G12" s="27" t="str">
        <f t="shared" si="13"/>
        <v/>
      </c>
      <c r="H12" s="28" t="str">
        <f t="shared" si="0"/>
        <v/>
      </c>
      <c r="I12" s="3" t="str">
        <f t="shared" si="14"/>
        <v/>
      </c>
      <c r="J12" s="3" t="str">
        <f t="shared" si="1"/>
        <v xml:space="preserve"> </v>
      </c>
      <c r="K12" s="3" t="str">
        <f t="shared" si="15"/>
        <v/>
      </c>
      <c r="L12" s="30" t="str">
        <f t="shared" si="2"/>
        <v/>
      </c>
      <c r="M12" s="29" t="str">
        <f t="shared" si="16"/>
        <v/>
      </c>
      <c r="N12" s="29" t="str">
        <f t="shared" si="17"/>
        <v/>
      </c>
      <c r="O12" s="29" t="str">
        <f t="shared" si="3"/>
        <v/>
      </c>
      <c r="P12" s="29" t="str">
        <f t="shared" si="4"/>
        <v/>
      </c>
      <c r="Q12" s="29" t="str">
        <f t="shared" si="5"/>
        <v/>
      </c>
      <c r="R12" s="23" t="str">
        <f t="shared" si="6"/>
        <v/>
      </c>
      <c r="S12" s="5" t="str">
        <f t="shared" si="18"/>
        <v/>
      </c>
      <c r="T12" s="5" t="str">
        <f t="shared" si="19"/>
        <v/>
      </c>
      <c r="U12" s="5" t="str">
        <f t="shared" si="20"/>
        <v/>
      </c>
      <c r="V12" s="4" t="str">
        <f t="shared" si="7"/>
        <v/>
      </c>
      <c r="W12" s="6" t="str">
        <f t="shared" si="8"/>
        <v/>
      </c>
      <c r="X12" s="22" t="str">
        <f t="shared" si="9"/>
        <v/>
      </c>
      <c r="Y12" s="22" t="str">
        <f t="shared" si="10"/>
        <v/>
      </c>
      <c r="Z12" s="22"/>
      <c r="AA12" s="1">
        <v>9</v>
      </c>
      <c r="AB12" s="1">
        <v>1</v>
      </c>
      <c r="AC12" s="1" t="s">
        <v>38</v>
      </c>
      <c r="AD12" s="2">
        <v>44031</v>
      </c>
      <c r="AE12" s="2">
        <v>43780</v>
      </c>
      <c r="AF12" s="36">
        <v>379.16</v>
      </c>
      <c r="AG12" s="36">
        <v>164.77</v>
      </c>
      <c r="AH12" s="36">
        <v>214.39</v>
      </c>
      <c r="AI12" s="36">
        <v>26.28</v>
      </c>
      <c r="AK12" s="34" t="e">
        <f t="shared" si="21"/>
        <v>#VALUE!</v>
      </c>
      <c r="AL12" s="34" t="e">
        <f t="shared" si="22"/>
        <v>#VALUE!</v>
      </c>
      <c r="AM12" s="34" t="e">
        <f t="shared" si="23"/>
        <v>#VALUE!</v>
      </c>
      <c r="AN12" s="34" t="e">
        <f t="shared" si="24"/>
        <v>#VALUE!</v>
      </c>
    </row>
    <row r="13" spans="2:40" x14ac:dyDescent="0.25">
      <c r="B13" s="11" t="s">
        <v>13</v>
      </c>
      <c r="C13" s="14">
        <v>14520</v>
      </c>
      <c r="E13" s="25">
        <f t="shared" si="11"/>
        <v>10</v>
      </c>
      <c r="F13" s="26" t="str">
        <f t="shared" si="12"/>
        <v/>
      </c>
      <c r="G13" s="27" t="str">
        <f t="shared" si="13"/>
        <v/>
      </c>
      <c r="H13" s="28" t="str">
        <f t="shared" si="0"/>
        <v/>
      </c>
      <c r="I13" s="3" t="str">
        <f t="shared" si="14"/>
        <v/>
      </c>
      <c r="J13" s="3" t="str">
        <f t="shared" si="1"/>
        <v xml:space="preserve"> </v>
      </c>
      <c r="K13" s="3" t="str">
        <f t="shared" si="15"/>
        <v/>
      </c>
      <c r="L13" s="30" t="str">
        <f t="shared" si="2"/>
        <v/>
      </c>
      <c r="M13" s="29" t="str">
        <f t="shared" si="16"/>
        <v/>
      </c>
      <c r="N13" s="29" t="str">
        <f t="shared" si="17"/>
        <v/>
      </c>
      <c r="O13" s="29" t="str">
        <f t="shared" si="3"/>
        <v/>
      </c>
      <c r="P13" s="29" t="str">
        <f t="shared" si="4"/>
        <v/>
      </c>
      <c r="Q13" s="29" t="str">
        <f t="shared" si="5"/>
        <v/>
      </c>
      <c r="R13" s="23" t="str">
        <f t="shared" si="6"/>
        <v/>
      </c>
      <c r="S13" s="5" t="str">
        <f t="shared" si="18"/>
        <v/>
      </c>
      <c r="T13" s="5" t="str">
        <f t="shared" si="19"/>
        <v/>
      </c>
      <c r="U13" s="5" t="str">
        <f t="shared" si="20"/>
        <v/>
      </c>
      <c r="V13" s="4" t="str">
        <f t="shared" si="7"/>
        <v/>
      </c>
      <c r="W13" s="6" t="str">
        <f t="shared" si="8"/>
        <v/>
      </c>
      <c r="X13" s="22" t="str">
        <f t="shared" si="9"/>
        <v/>
      </c>
      <c r="Y13" s="22" t="str">
        <f t="shared" si="10"/>
        <v/>
      </c>
      <c r="Z13" s="22"/>
      <c r="AA13" s="1">
        <v>10</v>
      </c>
      <c r="AB13" s="1">
        <v>1</v>
      </c>
      <c r="AC13" s="1" t="s">
        <v>38</v>
      </c>
      <c r="AD13" s="2">
        <v>44062</v>
      </c>
      <c r="AE13" s="2">
        <v>43780</v>
      </c>
      <c r="AF13" s="36">
        <v>379.16</v>
      </c>
      <c r="AG13" s="36">
        <v>160.4</v>
      </c>
      <c r="AH13" s="36">
        <v>218.76</v>
      </c>
      <c r="AI13" s="36">
        <v>25.95</v>
      </c>
      <c r="AK13" s="34" t="e">
        <f t="shared" si="21"/>
        <v>#VALUE!</v>
      </c>
      <c r="AL13" s="34" t="e">
        <f t="shared" si="22"/>
        <v>#VALUE!</v>
      </c>
      <c r="AM13" s="34" t="e">
        <f t="shared" si="23"/>
        <v>#VALUE!</v>
      </c>
      <c r="AN13" s="34" t="e">
        <f t="shared" si="24"/>
        <v>#VALUE!</v>
      </c>
    </row>
    <row r="14" spans="2:40" x14ac:dyDescent="0.25">
      <c r="B14" s="11" t="s">
        <v>12</v>
      </c>
      <c r="C14" s="13">
        <f>1.6583%*12</f>
        <v>0.19899600000000001</v>
      </c>
      <c r="E14" s="25">
        <f t="shared" si="11"/>
        <v>11</v>
      </c>
      <c r="F14" s="26" t="str">
        <f t="shared" si="12"/>
        <v/>
      </c>
      <c r="G14" s="27" t="str">
        <f t="shared" si="13"/>
        <v/>
      </c>
      <c r="H14" s="28" t="str">
        <f t="shared" si="0"/>
        <v/>
      </c>
      <c r="I14" s="3" t="str">
        <f t="shared" si="14"/>
        <v/>
      </c>
      <c r="J14" s="3" t="str">
        <f t="shared" si="1"/>
        <v xml:space="preserve"> </v>
      </c>
      <c r="K14" s="3" t="str">
        <f t="shared" si="15"/>
        <v/>
      </c>
      <c r="L14" s="30" t="str">
        <f t="shared" si="2"/>
        <v/>
      </c>
      <c r="M14" s="29" t="str">
        <f t="shared" si="16"/>
        <v/>
      </c>
      <c r="N14" s="29" t="str">
        <f t="shared" si="17"/>
        <v/>
      </c>
      <c r="O14" s="29" t="str">
        <f t="shared" si="3"/>
        <v/>
      </c>
      <c r="P14" s="29" t="str">
        <f t="shared" si="4"/>
        <v/>
      </c>
      <c r="Q14" s="29" t="str">
        <f t="shared" si="5"/>
        <v/>
      </c>
      <c r="R14" s="23" t="str">
        <f t="shared" si="6"/>
        <v/>
      </c>
      <c r="S14" s="5" t="str">
        <f t="shared" si="18"/>
        <v/>
      </c>
      <c r="T14" s="5" t="str">
        <f t="shared" si="19"/>
        <v/>
      </c>
      <c r="U14" s="5" t="str">
        <f t="shared" si="20"/>
        <v/>
      </c>
      <c r="V14" s="4" t="str">
        <f t="shared" si="7"/>
        <v/>
      </c>
      <c r="W14" s="6" t="str">
        <f t="shared" si="8"/>
        <v/>
      </c>
      <c r="X14" s="22" t="str">
        <f t="shared" si="9"/>
        <v/>
      </c>
      <c r="Y14" s="22" t="str">
        <f t="shared" si="10"/>
        <v/>
      </c>
      <c r="Z14" s="22"/>
      <c r="AA14" s="1">
        <v>11</v>
      </c>
      <c r="AB14" s="1">
        <v>1</v>
      </c>
      <c r="AC14" s="1" t="s">
        <v>38</v>
      </c>
      <c r="AD14" s="2">
        <v>44093</v>
      </c>
      <c r="AE14" s="2">
        <v>43780</v>
      </c>
      <c r="AF14" s="36">
        <v>379.16</v>
      </c>
      <c r="AG14" s="36">
        <v>163.1</v>
      </c>
      <c r="AH14" s="36">
        <v>216.06</v>
      </c>
      <c r="AI14" s="36">
        <v>25.63</v>
      </c>
      <c r="AK14" s="34" t="e">
        <f t="shared" si="21"/>
        <v>#VALUE!</v>
      </c>
      <c r="AL14" s="34" t="e">
        <f t="shared" si="22"/>
        <v>#VALUE!</v>
      </c>
      <c r="AM14" s="34" t="e">
        <f t="shared" si="23"/>
        <v>#VALUE!</v>
      </c>
      <c r="AN14" s="34" t="e">
        <f t="shared" si="24"/>
        <v>#VALUE!</v>
      </c>
    </row>
    <row r="15" spans="2:40" x14ac:dyDescent="0.25">
      <c r="B15" s="11" t="s">
        <v>11</v>
      </c>
      <c r="C15" s="13">
        <f>1.6583%*12</f>
        <v>0.19899600000000001</v>
      </c>
      <c r="E15" s="25">
        <f t="shared" si="11"/>
        <v>12</v>
      </c>
      <c r="F15" s="26" t="str">
        <f t="shared" si="12"/>
        <v/>
      </c>
      <c r="G15" s="27" t="str">
        <f t="shared" si="13"/>
        <v/>
      </c>
      <c r="H15" s="28" t="str">
        <f t="shared" si="0"/>
        <v/>
      </c>
      <c r="I15" s="3" t="str">
        <f t="shared" si="14"/>
        <v/>
      </c>
      <c r="J15" s="3" t="str">
        <f t="shared" si="1"/>
        <v xml:space="preserve"> </v>
      </c>
      <c r="K15" s="3" t="str">
        <f t="shared" si="15"/>
        <v/>
      </c>
      <c r="L15" s="30" t="str">
        <f t="shared" si="2"/>
        <v/>
      </c>
      <c r="M15" s="29" t="str">
        <f t="shared" si="16"/>
        <v/>
      </c>
      <c r="N15" s="29" t="str">
        <f t="shared" si="17"/>
        <v/>
      </c>
      <c r="O15" s="29" t="str">
        <f t="shared" si="3"/>
        <v/>
      </c>
      <c r="P15" s="29" t="str">
        <f t="shared" si="4"/>
        <v/>
      </c>
      <c r="Q15" s="29" t="str">
        <f t="shared" si="5"/>
        <v/>
      </c>
      <c r="R15" s="23" t="str">
        <f t="shared" si="6"/>
        <v/>
      </c>
      <c r="S15" s="5" t="str">
        <f t="shared" si="18"/>
        <v/>
      </c>
      <c r="T15" s="5" t="str">
        <f t="shared" si="19"/>
        <v/>
      </c>
      <c r="U15" s="5" t="str">
        <f t="shared" si="20"/>
        <v/>
      </c>
      <c r="V15" s="4" t="str">
        <f t="shared" si="7"/>
        <v/>
      </c>
      <c r="W15" s="6" t="str">
        <f t="shared" si="8"/>
        <v/>
      </c>
      <c r="X15" s="22" t="str">
        <f t="shared" si="9"/>
        <v/>
      </c>
      <c r="Y15" s="22" t="str">
        <f t="shared" si="10"/>
        <v/>
      </c>
      <c r="Z15" s="22"/>
      <c r="AA15" s="1">
        <v>12</v>
      </c>
      <c r="AB15" s="1">
        <v>1</v>
      </c>
      <c r="AC15" s="1" t="s">
        <v>38</v>
      </c>
      <c r="AD15" s="2">
        <v>44123</v>
      </c>
      <c r="AE15" s="2">
        <v>43780</v>
      </c>
      <c r="AF15" s="36">
        <v>379.16</v>
      </c>
      <c r="AG15" s="36">
        <v>172.73</v>
      </c>
      <c r="AH15" s="36">
        <v>206.43</v>
      </c>
      <c r="AI15" s="36">
        <v>25.31</v>
      </c>
      <c r="AK15" s="34" t="e">
        <f t="shared" si="21"/>
        <v>#VALUE!</v>
      </c>
      <c r="AL15" s="34" t="e">
        <f t="shared" si="22"/>
        <v>#VALUE!</v>
      </c>
      <c r="AM15" s="34" t="e">
        <f t="shared" si="23"/>
        <v>#VALUE!</v>
      </c>
      <c r="AN15" s="34" t="e">
        <f t="shared" si="24"/>
        <v>#VALUE!</v>
      </c>
    </row>
    <row r="16" spans="2:40" x14ac:dyDescent="0.25">
      <c r="B16" s="11" t="s">
        <v>10</v>
      </c>
      <c r="C16" s="12">
        <v>60</v>
      </c>
      <c r="E16" s="25">
        <f t="shared" si="11"/>
        <v>13</v>
      </c>
      <c r="F16" s="26" t="str">
        <f t="shared" si="12"/>
        <v/>
      </c>
      <c r="G16" s="27" t="str">
        <f t="shared" si="13"/>
        <v/>
      </c>
      <c r="H16" s="28" t="str">
        <f t="shared" si="0"/>
        <v/>
      </c>
      <c r="I16" s="3" t="str">
        <f t="shared" si="14"/>
        <v/>
      </c>
      <c r="J16" s="3" t="str">
        <f t="shared" si="1"/>
        <v xml:space="preserve"> </v>
      </c>
      <c r="K16" s="3" t="str">
        <f t="shared" si="15"/>
        <v/>
      </c>
      <c r="L16" s="30" t="str">
        <f t="shared" si="2"/>
        <v/>
      </c>
      <c r="M16" s="29" t="str">
        <f t="shared" si="16"/>
        <v/>
      </c>
      <c r="N16" s="29" t="str">
        <f t="shared" si="17"/>
        <v/>
      </c>
      <c r="O16" s="29" t="str">
        <f t="shared" si="3"/>
        <v/>
      </c>
      <c r="P16" s="29" t="str">
        <f t="shared" si="4"/>
        <v/>
      </c>
      <c r="Q16" s="29" t="str">
        <f t="shared" si="5"/>
        <v/>
      </c>
      <c r="R16" s="23" t="str">
        <f t="shared" si="6"/>
        <v/>
      </c>
      <c r="S16" s="5" t="str">
        <f t="shared" si="18"/>
        <v/>
      </c>
      <c r="T16" s="5" t="str">
        <f t="shared" si="19"/>
        <v/>
      </c>
      <c r="U16" s="5" t="str">
        <f t="shared" si="20"/>
        <v/>
      </c>
      <c r="V16" s="4" t="str">
        <f t="shared" si="7"/>
        <v/>
      </c>
      <c r="W16" s="6" t="str">
        <f t="shared" si="8"/>
        <v/>
      </c>
      <c r="X16" s="22" t="str">
        <f t="shared" si="9"/>
        <v/>
      </c>
      <c r="Y16" s="22" t="str">
        <f t="shared" si="10"/>
        <v/>
      </c>
      <c r="Z16" s="22"/>
      <c r="AA16" s="1">
        <v>13</v>
      </c>
      <c r="AB16" s="1">
        <v>1</v>
      </c>
      <c r="AC16" s="1" t="s">
        <v>38</v>
      </c>
      <c r="AD16" s="2">
        <v>44154</v>
      </c>
      <c r="AE16" s="2">
        <v>43780</v>
      </c>
      <c r="AF16" s="36">
        <v>379.16</v>
      </c>
      <c r="AG16" s="36">
        <v>168.76</v>
      </c>
      <c r="AH16" s="36">
        <v>210.4</v>
      </c>
      <c r="AI16" s="36">
        <v>24.96</v>
      </c>
      <c r="AK16" s="34" t="e">
        <f t="shared" si="21"/>
        <v>#VALUE!</v>
      </c>
      <c r="AL16" s="34" t="e">
        <f t="shared" si="22"/>
        <v>#VALUE!</v>
      </c>
      <c r="AM16" s="34" t="e">
        <f t="shared" si="23"/>
        <v>#VALUE!</v>
      </c>
      <c r="AN16" s="34" t="e">
        <f t="shared" si="24"/>
        <v>#VALUE!</v>
      </c>
    </row>
    <row r="17" spans="2:40" x14ac:dyDescent="0.25">
      <c r="B17" s="11" t="s">
        <v>9</v>
      </c>
      <c r="C17" s="12">
        <v>60</v>
      </c>
      <c r="E17" s="25">
        <f t="shared" si="11"/>
        <v>14</v>
      </c>
      <c r="F17" s="26" t="str">
        <f t="shared" si="12"/>
        <v/>
      </c>
      <c r="G17" s="27" t="str">
        <f t="shared" si="13"/>
        <v/>
      </c>
      <c r="H17" s="28" t="str">
        <f t="shared" si="0"/>
        <v/>
      </c>
      <c r="I17" s="3" t="str">
        <f t="shared" si="14"/>
        <v/>
      </c>
      <c r="J17" s="3" t="str">
        <f t="shared" si="1"/>
        <v xml:space="preserve"> </v>
      </c>
      <c r="K17" s="3" t="str">
        <f t="shared" si="15"/>
        <v/>
      </c>
      <c r="L17" s="30" t="str">
        <f t="shared" si="2"/>
        <v/>
      </c>
      <c r="M17" s="29" t="str">
        <f t="shared" si="16"/>
        <v/>
      </c>
      <c r="N17" s="29" t="str">
        <f t="shared" si="17"/>
        <v/>
      </c>
      <c r="O17" s="29" t="str">
        <f t="shared" si="3"/>
        <v/>
      </c>
      <c r="P17" s="29" t="str">
        <f t="shared" si="4"/>
        <v/>
      </c>
      <c r="Q17" s="29" t="str">
        <f t="shared" si="5"/>
        <v/>
      </c>
      <c r="R17" s="23" t="str">
        <f t="shared" si="6"/>
        <v/>
      </c>
      <c r="S17" s="5" t="str">
        <f t="shared" si="18"/>
        <v/>
      </c>
      <c r="T17" s="5" t="str">
        <f t="shared" si="19"/>
        <v/>
      </c>
      <c r="U17" s="5" t="str">
        <f t="shared" si="20"/>
        <v/>
      </c>
      <c r="V17" s="4" t="str">
        <f t="shared" si="7"/>
        <v/>
      </c>
      <c r="W17" s="6" t="str">
        <f t="shared" si="8"/>
        <v/>
      </c>
      <c r="X17" s="22" t="str">
        <f t="shared" si="9"/>
        <v/>
      </c>
      <c r="Y17" s="22" t="str">
        <f t="shared" si="10"/>
        <v/>
      </c>
      <c r="Z17" s="22"/>
      <c r="AA17" s="1">
        <v>14</v>
      </c>
      <c r="AB17" s="1">
        <v>1</v>
      </c>
      <c r="AC17" s="1" t="s">
        <v>38</v>
      </c>
      <c r="AD17" s="2">
        <v>44184</v>
      </c>
      <c r="AE17" s="2">
        <v>43780</v>
      </c>
      <c r="AF17" s="36">
        <v>379.16</v>
      </c>
      <c r="AG17" s="36">
        <v>178.3</v>
      </c>
      <c r="AH17" s="36">
        <v>200.86</v>
      </c>
      <c r="AI17" s="36">
        <v>24.62</v>
      </c>
      <c r="AK17" s="34" t="e">
        <f t="shared" si="21"/>
        <v>#VALUE!</v>
      </c>
      <c r="AL17" s="34" t="e">
        <f t="shared" si="22"/>
        <v>#VALUE!</v>
      </c>
      <c r="AM17" s="34" t="e">
        <f t="shared" si="23"/>
        <v>#VALUE!</v>
      </c>
      <c r="AN17" s="34" t="e">
        <f t="shared" si="24"/>
        <v>#VALUE!</v>
      </c>
    </row>
    <row r="18" spans="2:40" x14ac:dyDescent="0.25">
      <c r="B18" s="11" t="s">
        <v>8</v>
      </c>
      <c r="C18" s="10">
        <v>43788</v>
      </c>
      <c r="E18" s="25">
        <f t="shared" si="11"/>
        <v>15</v>
      </c>
      <c r="F18" s="26" t="str">
        <f t="shared" si="12"/>
        <v/>
      </c>
      <c r="G18" s="27" t="str">
        <f t="shared" si="13"/>
        <v/>
      </c>
      <c r="H18" s="28" t="str">
        <f t="shared" si="0"/>
        <v/>
      </c>
      <c r="I18" s="3" t="str">
        <f t="shared" si="14"/>
        <v/>
      </c>
      <c r="J18" s="3" t="str">
        <f t="shared" si="1"/>
        <v xml:space="preserve"> </v>
      </c>
      <c r="K18" s="3" t="str">
        <f t="shared" si="15"/>
        <v/>
      </c>
      <c r="L18" s="30" t="str">
        <f t="shared" si="2"/>
        <v/>
      </c>
      <c r="M18" s="29" t="str">
        <f t="shared" si="16"/>
        <v/>
      </c>
      <c r="N18" s="29" t="str">
        <f t="shared" si="17"/>
        <v/>
      </c>
      <c r="O18" s="29" t="str">
        <f t="shared" si="3"/>
        <v/>
      </c>
      <c r="P18" s="29" t="str">
        <f t="shared" si="4"/>
        <v/>
      </c>
      <c r="Q18" s="29" t="str">
        <f t="shared" si="5"/>
        <v/>
      </c>
      <c r="R18" s="23" t="str">
        <f t="shared" si="6"/>
        <v/>
      </c>
      <c r="S18" s="5" t="str">
        <f t="shared" si="18"/>
        <v/>
      </c>
      <c r="T18" s="5" t="str">
        <f t="shared" si="19"/>
        <v/>
      </c>
      <c r="U18" s="5" t="str">
        <f t="shared" si="20"/>
        <v/>
      </c>
      <c r="V18" s="4" t="str">
        <f t="shared" si="7"/>
        <v/>
      </c>
      <c r="W18" s="6" t="str">
        <f t="shared" si="8"/>
        <v/>
      </c>
      <c r="X18" s="22" t="str">
        <f t="shared" si="9"/>
        <v/>
      </c>
      <c r="Y18" s="22" t="str">
        <f t="shared" si="10"/>
        <v/>
      </c>
      <c r="Z18" s="22"/>
      <c r="AA18" s="1">
        <v>15</v>
      </c>
      <c r="AB18" s="1">
        <v>1</v>
      </c>
      <c r="AC18" s="1" t="s">
        <v>38</v>
      </c>
      <c r="AD18" s="2">
        <v>44215</v>
      </c>
      <c r="AE18" s="2">
        <v>43780</v>
      </c>
      <c r="AF18" s="36">
        <v>379.16</v>
      </c>
      <c r="AG18" s="36">
        <v>174.27</v>
      </c>
      <c r="AH18" s="36">
        <v>204.89</v>
      </c>
      <c r="AI18" s="36">
        <v>24.27</v>
      </c>
      <c r="AK18" s="34" t="e">
        <f t="shared" si="21"/>
        <v>#VALUE!</v>
      </c>
      <c r="AL18" s="34" t="e">
        <f t="shared" si="22"/>
        <v>#VALUE!</v>
      </c>
      <c r="AM18" s="34" t="e">
        <f t="shared" si="23"/>
        <v>#VALUE!</v>
      </c>
      <c r="AN18" s="34" t="e">
        <f t="shared" si="24"/>
        <v>#VALUE!</v>
      </c>
    </row>
    <row r="19" spans="2:40" x14ac:dyDescent="0.25">
      <c r="B19" s="9" t="s">
        <v>7</v>
      </c>
      <c r="C19" s="8" t="str">
        <f>IFERROR(TRUNC(VLOOKUP($C$17,$E$4:$L$69,8),2),"")</f>
        <v/>
      </c>
      <c r="E19" s="25">
        <f t="shared" si="11"/>
        <v>16</v>
      </c>
      <c r="F19" s="26" t="str">
        <f t="shared" si="12"/>
        <v/>
      </c>
      <c r="G19" s="27" t="str">
        <f t="shared" si="13"/>
        <v/>
      </c>
      <c r="H19" s="28" t="str">
        <f t="shared" si="0"/>
        <v/>
      </c>
      <c r="I19" s="3" t="str">
        <f t="shared" si="14"/>
        <v/>
      </c>
      <c r="J19" s="3" t="str">
        <f t="shared" si="1"/>
        <v xml:space="preserve"> </v>
      </c>
      <c r="K19" s="3" t="str">
        <f t="shared" si="15"/>
        <v/>
      </c>
      <c r="L19" s="30" t="str">
        <f t="shared" si="2"/>
        <v/>
      </c>
      <c r="M19" s="29" t="str">
        <f t="shared" si="16"/>
        <v/>
      </c>
      <c r="N19" s="29" t="str">
        <f t="shared" si="17"/>
        <v/>
      </c>
      <c r="O19" s="29" t="str">
        <f t="shared" si="3"/>
        <v/>
      </c>
      <c r="P19" s="29" t="str">
        <f t="shared" si="4"/>
        <v/>
      </c>
      <c r="Q19" s="29" t="str">
        <f t="shared" si="5"/>
        <v/>
      </c>
      <c r="R19" s="23" t="str">
        <f t="shared" si="6"/>
        <v/>
      </c>
      <c r="S19" s="5" t="str">
        <f t="shared" si="18"/>
        <v/>
      </c>
      <c r="T19" s="5" t="str">
        <f t="shared" si="19"/>
        <v/>
      </c>
      <c r="U19" s="5" t="str">
        <f t="shared" si="20"/>
        <v/>
      </c>
      <c r="V19" s="4" t="str">
        <f t="shared" si="7"/>
        <v/>
      </c>
      <c r="W19" s="6" t="str">
        <f t="shared" si="8"/>
        <v/>
      </c>
      <c r="X19" s="22" t="str">
        <f t="shared" si="9"/>
        <v/>
      </c>
      <c r="Y19" s="22" t="str">
        <f t="shared" si="10"/>
        <v/>
      </c>
      <c r="Z19" s="22"/>
      <c r="AA19" s="1">
        <v>16</v>
      </c>
      <c r="AB19" s="1">
        <v>1</v>
      </c>
      <c r="AC19" s="1" t="s">
        <v>38</v>
      </c>
      <c r="AD19" s="2">
        <v>44246</v>
      </c>
      <c r="AE19" s="2">
        <v>43780</v>
      </c>
      <c r="AF19" s="36">
        <v>379.16</v>
      </c>
      <c r="AG19" s="36">
        <v>177</v>
      </c>
      <c r="AH19" s="36">
        <v>202.16</v>
      </c>
      <c r="AI19" s="36">
        <v>23.92</v>
      </c>
      <c r="AK19" s="34" t="e">
        <f t="shared" si="21"/>
        <v>#VALUE!</v>
      </c>
      <c r="AL19" s="34" t="e">
        <f t="shared" si="22"/>
        <v>#VALUE!</v>
      </c>
      <c r="AM19" s="34" t="e">
        <f t="shared" si="23"/>
        <v>#VALUE!</v>
      </c>
      <c r="AN19" s="34" t="e">
        <f t="shared" si="24"/>
        <v>#VALUE!</v>
      </c>
    </row>
    <row r="20" spans="2:40" x14ac:dyDescent="0.25">
      <c r="E20" s="25">
        <f t="shared" si="11"/>
        <v>17</v>
      </c>
      <c r="F20" s="26" t="str">
        <f t="shared" si="12"/>
        <v/>
      </c>
      <c r="G20" s="27" t="str">
        <f t="shared" si="13"/>
        <v/>
      </c>
      <c r="H20" s="28" t="str">
        <f t="shared" si="0"/>
        <v/>
      </c>
      <c r="I20" s="3" t="str">
        <f t="shared" si="14"/>
        <v/>
      </c>
      <c r="J20" s="3" t="str">
        <f t="shared" si="1"/>
        <v xml:space="preserve"> </v>
      </c>
      <c r="K20" s="3" t="str">
        <f t="shared" si="15"/>
        <v/>
      </c>
      <c r="L20" s="30" t="str">
        <f t="shared" si="2"/>
        <v/>
      </c>
      <c r="M20" s="29" t="str">
        <f t="shared" si="16"/>
        <v/>
      </c>
      <c r="N20" s="29" t="str">
        <f t="shared" si="17"/>
        <v/>
      </c>
      <c r="O20" s="29" t="str">
        <f t="shared" si="3"/>
        <v/>
      </c>
      <c r="P20" s="29" t="str">
        <f t="shared" si="4"/>
        <v/>
      </c>
      <c r="Q20" s="29" t="str">
        <f t="shared" si="5"/>
        <v/>
      </c>
      <c r="R20" s="23" t="str">
        <f t="shared" si="6"/>
        <v/>
      </c>
      <c r="S20" s="5" t="str">
        <f t="shared" si="18"/>
        <v/>
      </c>
      <c r="T20" s="5" t="str">
        <f t="shared" si="19"/>
        <v/>
      </c>
      <c r="U20" s="5" t="str">
        <f t="shared" si="20"/>
        <v/>
      </c>
      <c r="V20" s="4" t="str">
        <f t="shared" si="7"/>
        <v/>
      </c>
      <c r="W20" s="6" t="str">
        <f t="shared" si="8"/>
        <v/>
      </c>
      <c r="X20" s="22" t="str">
        <f t="shared" si="9"/>
        <v/>
      </c>
      <c r="Y20" s="22" t="str">
        <f t="shared" si="10"/>
        <v/>
      </c>
      <c r="Z20" s="22"/>
      <c r="AA20" s="1">
        <v>17</v>
      </c>
      <c r="AB20" s="1">
        <v>1</v>
      </c>
      <c r="AC20" s="1" t="s">
        <v>38</v>
      </c>
      <c r="AD20" s="2">
        <v>44274</v>
      </c>
      <c r="AE20" s="2">
        <v>43780</v>
      </c>
      <c r="AF20" s="36">
        <v>379.16</v>
      </c>
      <c r="AG20" s="36">
        <v>199.26</v>
      </c>
      <c r="AH20" s="36">
        <v>179.9</v>
      </c>
      <c r="AI20" s="36">
        <v>23.56</v>
      </c>
      <c r="AK20" s="34" t="e">
        <f t="shared" si="21"/>
        <v>#VALUE!</v>
      </c>
      <c r="AL20" s="34" t="e">
        <f t="shared" si="22"/>
        <v>#VALUE!</v>
      </c>
      <c r="AM20" s="34" t="e">
        <f t="shared" si="23"/>
        <v>#VALUE!</v>
      </c>
      <c r="AN20" s="34" t="e">
        <f t="shared" si="24"/>
        <v>#VALUE!</v>
      </c>
    </row>
    <row r="21" spans="2:40" x14ac:dyDescent="0.25">
      <c r="E21" s="25">
        <f t="shared" si="11"/>
        <v>18</v>
      </c>
      <c r="F21" s="26" t="str">
        <f t="shared" si="12"/>
        <v/>
      </c>
      <c r="G21" s="27" t="str">
        <f t="shared" si="13"/>
        <v/>
      </c>
      <c r="H21" s="28" t="str">
        <f t="shared" si="0"/>
        <v/>
      </c>
      <c r="I21" s="3" t="str">
        <f t="shared" si="14"/>
        <v/>
      </c>
      <c r="J21" s="3" t="str">
        <f t="shared" si="1"/>
        <v xml:space="preserve"> </v>
      </c>
      <c r="K21" s="3" t="str">
        <f t="shared" si="15"/>
        <v/>
      </c>
      <c r="L21" s="30" t="str">
        <f t="shared" si="2"/>
        <v/>
      </c>
      <c r="M21" s="29" t="str">
        <f t="shared" si="16"/>
        <v/>
      </c>
      <c r="N21" s="29" t="str">
        <f t="shared" si="17"/>
        <v/>
      </c>
      <c r="O21" s="29" t="str">
        <f t="shared" si="3"/>
        <v/>
      </c>
      <c r="P21" s="29" t="str">
        <f t="shared" si="4"/>
        <v/>
      </c>
      <c r="Q21" s="29" t="str">
        <f t="shared" si="5"/>
        <v/>
      </c>
      <c r="R21" s="23" t="str">
        <f t="shared" si="6"/>
        <v/>
      </c>
      <c r="S21" s="5" t="str">
        <f t="shared" si="18"/>
        <v/>
      </c>
      <c r="T21" s="5" t="str">
        <f t="shared" si="19"/>
        <v/>
      </c>
      <c r="U21" s="5" t="str">
        <f t="shared" si="20"/>
        <v/>
      </c>
      <c r="V21" s="4" t="str">
        <f t="shared" si="7"/>
        <v/>
      </c>
      <c r="W21" s="6" t="str">
        <f t="shared" si="8"/>
        <v/>
      </c>
      <c r="X21" s="22" t="str">
        <f t="shared" si="9"/>
        <v/>
      </c>
      <c r="Y21" s="22" t="str">
        <f t="shared" si="10"/>
        <v/>
      </c>
      <c r="Z21" s="22"/>
      <c r="AA21" s="1">
        <v>18</v>
      </c>
      <c r="AB21" s="1">
        <v>1</v>
      </c>
      <c r="AC21" s="1" t="s">
        <v>38</v>
      </c>
      <c r="AD21" s="2">
        <v>44305</v>
      </c>
      <c r="AE21" s="2">
        <v>43780</v>
      </c>
      <c r="AF21" s="36">
        <v>379.16</v>
      </c>
      <c r="AG21" s="36">
        <v>183.36</v>
      </c>
      <c r="AH21" s="36">
        <v>195.8</v>
      </c>
      <c r="AI21" s="36">
        <v>23.17</v>
      </c>
      <c r="AK21" s="34" t="e">
        <f t="shared" si="21"/>
        <v>#VALUE!</v>
      </c>
      <c r="AL21" s="34" t="e">
        <f t="shared" si="22"/>
        <v>#VALUE!</v>
      </c>
      <c r="AM21" s="34" t="e">
        <f t="shared" si="23"/>
        <v>#VALUE!</v>
      </c>
      <c r="AN21" s="34" t="e">
        <f t="shared" si="24"/>
        <v>#VALUE!</v>
      </c>
    </row>
    <row r="22" spans="2:40" x14ac:dyDescent="0.25">
      <c r="E22" s="25">
        <f t="shared" si="11"/>
        <v>19</v>
      </c>
      <c r="F22" s="26" t="str">
        <f t="shared" si="12"/>
        <v/>
      </c>
      <c r="G22" s="27" t="str">
        <f t="shared" si="13"/>
        <v/>
      </c>
      <c r="H22" s="28" t="str">
        <f t="shared" si="0"/>
        <v/>
      </c>
      <c r="I22" s="3" t="str">
        <f t="shared" si="14"/>
        <v/>
      </c>
      <c r="J22" s="3" t="str">
        <f t="shared" si="1"/>
        <v xml:space="preserve"> </v>
      </c>
      <c r="K22" s="3" t="str">
        <f t="shared" si="15"/>
        <v/>
      </c>
      <c r="L22" s="30" t="str">
        <f t="shared" si="2"/>
        <v/>
      </c>
      <c r="M22" s="29" t="str">
        <f t="shared" si="16"/>
        <v/>
      </c>
      <c r="N22" s="29" t="str">
        <f t="shared" si="17"/>
        <v/>
      </c>
      <c r="O22" s="29" t="str">
        <f t="shared" si="3"/>
        <v/>
      </c>
      <c r="P22" s="29" t="str">
        <f t="shared" si="4"/>
        <v/>
      </c>
      <c r="Q22" s="29" t="str">
        <f t="shared" si="5"/>
        <v/>
      </c>
      <c r="R22" s="23" t="str">
        <f t="shared" si="6"/>
        <v/>
      </c>
      <c r="S22" s="5" t="str">
        <f t="shared" si="18"/>
        <v/>
      </c>
      <c r="T22" s="5" t="str">
        <f t="shared" si="19"/>
        <v/>
      </c>
      <c r="U22" s="5" t="str">
        <f t="shared" si="20"/>
        <v/>
      </c>
      <c r="V22" s="4" t="str">
        <f t="shared" si="7"/>
        <v/>
      </c>
      <c r="W22" s="6" t="str">
        <f t="shared" si="8"/>
        <v/>
      </c>
      <c r="X22" s="22" t="str">
        <f t="shared" si="9"/>
        <v/>
      </c>
      <c r="Y22" s="22" t="str">
        <f t="shared" si="10"/>
        <v/>
      </c>
      <c r="Z22" s="22"/>
      <c r="AA22" s="1">
        <v>19</v>
      </c>
      <c r="AB22" s="1">
        <v>1</v>
      </c>
      <c r="AC22" s="1" t="s">
        <v>38</v>
      </c>
      <c r="AD22" s="2">
        <v>44335</v>
      </c>
      <c r="AE22" s="2">
        <v>43780</v>
      </c>
      <c r="AF22" s="36">
        <v>379.16</v>
      </c>
      <c r="AG22" s="36">
        <v>192.67</v>
      </c>
      <c r="AH22" s="36">
        <v>186.49</v>
      </c>
      <c r="AI22" s="36">
        <v>22.8</v>
      </c>
      <c r="AK22" s="34" t="e">
        <f t="shared" si="21"/>
        <v>#VALUE!</v>
      </c>
      <c r="AL22" s="34" t="e">
        <f t="shared" si="22"/>
        <v>#VALUE!</v>
      </c>
      <c r="AM22" s="34" t="e">
        <f t="shared" si="23"/>
        <v>#VALUE!</v>
      </c>
      <c r="AN22" s="34" t="e">
        <f t="shared" si="24"/>
        <v>#VALUE!</v>
      </c>
    </row>
    <row r="23" spans="2:40" x14ac:dyDescent="0.25">
      <c r="E23" s="25">
        <f t="shared" si="11"/>
        <v>20</v>
      </c>
      <c r="F23" s="26" t="str">
        <f t="shared" si="12"/>
        <v/>
      </c>
      <c r="G23" s="27" t="str">
        <f t="shared" si="13"/>
        <v/>
      </c>
      <c r="H23" s="28" t="str">
        <f t="shared" si="0"/>
        <v/>
      </c>
      <c r="I23" s="3" t="str">
        <f t="shared" si="14"/>
        <v/>
      </c>
      <c r="J23" s="3" t="str">
        <f t="shared" si="1"/>
        <v xml:space="preserve"> </v>
      </c>
      <c r="K23" s="3" t="str">
        <f t="shared" si="15"/>
        <v/>
      </c>
      <c r="L23" s="30" t="str">
        <f t="shared" si="2"/>
        <v/>
      </c>
      <c r="M23" s="29" t="str">
        <f t="shared" si="16"/>
        <v/>
      </c>
      <c r="N23" s="29" t="str">
        <f t="shared" si="17"/>
        <v/>
      </c>
      <c r="O23" s="29" t="str">
        <f t="shared" si="3"/>
        <v/>
      </c>
      <c r="P23" s="29" t="str">
        <f t="shared" si="4"/>
        <v/>
      </c>
      <c r="Q23" s="29" t="str">
        <f t="shared" si="5"/>
        <v/>
      </c>
      <c r="R23" s="23" t="str">
        <f t="shared" si="6"/>
        <v/>
      </c>
      <c r="S23" s="5" t="str">
        <f t="shared" si="18"/>
        <v/>
      </c>
      <c r="T23" s="5" t="str">
        <f t="shared" si="19"/>
        <v/>
      </c>
      <c r="U23" s="5" t="str">
        <f t="shared" si="20"/>
        <v/>
      </c>
      <c r="V23" s="4" t="str">
        <f t="shared" si="7"/>
        <v/>
      </c>
      <c r="W23" s="6" t="str">
        <f t="shared" si="8"/>
        <v/>
      </c>
      <c r="X23" s="22" t="str">
        <f t="shared" si="9"/>
        <v/>
      </c>
      <c r="Y23" s="22" t="str">
        <f t="shared" si="10"/>
        <v/>
      </c>
      <c r="Z23" s="22"/>
      <c r="AA23" s="1">
        <v>20</v>
      </c>
      <c r="AB23" s="1">
        <v>1</v>
      </c>
      <c r="AC23" s="1" t="s">
        <v>38</v>
      </c>
      <c r="AD23" s="2">
        <v>44366</v>
      </c>
      <c r="AE23" s="2">
        <v>43780</v>
      </c>
      <c r="AF23" s="36">
        <v>379.16</v>
      </c>
      <c r="AG23" s="36">
        <v>189.71</v>
      </c>
      <c r="AH23" s="36">
        <v>189.45</v>
      </c>
      <c r="AI23" s="36">
        <v>22.41</v>
      </c>
      <c r="AK23" s="34" t="e">
        <f t="shared" si="21"/>
        <v>#VALUE!</v>
      </c>
      <c r="AL23" s="34" t="e">
        <f t="shared" si="22"/>
        <v>#VALUE!</v>
      </c>
      <c r="AM23" s="34" t="e">
        <f t="shared" si="23"/>
        <v>#VALUE!</v>
      </c>
      <c r="AN23" s="34" t="e">
        <f t="shared" si="24"/>
        <v>#VALUE!</v>
      </c>
    </row>
    <row r="24" spans="2:40" x14ac:dyDescent="0.25">
      <c r="E24" s="25">
        <f t="shared" si="11"/>
        <v>21</v>
      </c>
      <c r="F24" s="26" t="str">
        <f t="shared" si="12"/>
        <v/>
      </c>
      <c r="G24" s="27" t="str">
        <f t="shared" si="13"/>
        <v/>
      </c>
      <c r="H24" s="28" t="str">
        <f t="shared" si="0"/>
        <v/>
      </c>
      <c r="I24" s="7" t="str">
        <f t="shared" si="14"/>
        <v/>
      </c>
      <c r="J24" s="3" t="str">
        <f t="shared" si="1"/>
        <v xml:space="preserve"> </v>
      </c>
      <c r="K24" s="3" t="str">
        <f t="shared" si="15"/>
        <v/>
      </c>
      <c r="L24" s="30" t="str">
        <f t="shared" si="2"/>
        <v/>
      </c>
      <c r="M24" s="29" t="str">
        <f t="shared" si="16"/>
        <v/>
      </c>
      <c r="N24" s="29" t="str">
        <f t="shared" si="17"/>
        <v/>
      </c>
      <c r="O24" s="29" t="str">
        <f t="shared" si="3"/>
        <v/>
      </c>
      <c r="P24" s="29" t="str">
        <f t="shared" si="4"/>
        <v/>
      </c>
      <c r="Q24" s="29" t="str">
        <f t="shared" si="5"/>
        <v/>
      </c>
      <c r="R24" s="23" t="str">
        <f t="shared" si="6"/>
        <v/>
      </c>
      <c r="S24" s="5" t="str">
        <f t="shared" si="18"/>
        <v/>
      </c>
      <c r="T24" s="5" t="str">
        <f t="shared" si="19"/>
        <v/>
      </c>
      <c r="U24" s="5" t="str">
        <f t="shared" si="20"/>
        <v/>
      </c>
      <c r="V24" s="4" t="str">
        <f t="shared" si="7"/>
        <v/>
      </c>
      <c r="W24" s="6" t="str">
        <f t="shared" si="8"/>
        <v/>
      </c>
      <c r="X24" s="22" t="str">
        <f t="shared" si="9"/>
        <v/>
      </c>
      <c r="Y24" s="22" t="str">
        <f t="shared" si="10"/>
        <v/>
      </c>
      <c r="Z24" s="22"/>
      <c r="AA24" s="1">
        <v>21</v>
      </c>
      <c r="AB24" s="1">
        <v>1</v>
      </c>
      <c r="AC24" s="1" t="s">
        <v>38</v>
      </c>
      <c r="AD24" s="2">
        <v>44396</v>
      </c>
      <c r="AE24" s="2">
        <v>43780</v>
      </c>
      <c r="AF24" s="36">
        <v>379.16</v>
      </c>
      <c r="AG24" s="36">
        <v>198.93</v>
      </c>
      <c r="AH24" s="36">
        <v>180.23</v>
      </c>
      <c r="AI24" s="36">
        <v>22.03</v>
      </c>
      <c r="AK24" s="34" t="e">
        <f t="shared" si="21"/>
        <v>#VALUE!</v>
      </c>
      <c r="AL24" s="34" t="e">
        <f t="shared" si="22"/>
        <v>#VALUE!</v>
      </c>
      <c r="AM24" s="34" t="e">
        <f t="shared" si="23"/>
        <v>#VALUE!</v>
      </c>
      <c r="AN24" s="34" t="e">
        <f t="shared" si="24"/>
        <v>#VALUE!</v>
      </c>
    </row>
    <row r="25" spans="2:40" x14ac:dyDescent="0.25">
      <c r="E25" s="25">
        <f t="shared" si="11"/>
        <v>22</v>
      </c>
      <c r="F25" s="26" t="str">
        <f t="shared" si="12"/>
        <v/>
      </c>
      <c r="G25" s="27" t="str">
        <f t="shared" si="13"/>
        <v/>
      </c>
      <c r="H25" s="28" t="str">
        <f t="shared" si="0"/>
        <v/>
      </c>
      <c r="I25" s="3" t="str">
        <f t="shared" si="14"/>
        <v/>
      </c>
      <c r="J25" s="3" t="str">
        <f t="shared" si="1"/>
        <v xml:space="preserve"> </v>
      </c>
      <c r="K25" s="7" t="str">
        <f t="shared" si="15"/>
        <v/>
      </c>
      <c r="L25" s="30" t="str">
        <f t="shared" si="2"/>
        <v/>
      </c>
      <c r="M25" s="29" t="str">
        <f t="shared" si="16"/>
        <v/>
      </c>
      <c r="N25" s="29" t="str">
        <f t="shared" si="17"/>
        <v/>
      </c>
      <c r="O25" s="29" t="str">
        <f t="shared" si="3"/>
        <v/>
      </c>
      <c r="P25" s="29" t="str">
        <f t="shared" si="4"/>
        <v/>
      </c>
      <c r="Q25" s="29" t="str">
        <f t="shared" si="5"/>
        <v/>
      </c>
      <c r="R25" s="23" t="str">
        <f t="shared" si="6"/>
        <v/>
      </c>
      <c r="S25" s="5" t="str">
        <f t="shared" si="18"/>
        <v/>
      </c>
      <c r="T25" s="5" t="str">
        <f t="shared" si="19"/>
        <v/>
      </c>
      <c r="U25" s="5" t="str">
        <f t="shared" si="20"/>
        <v/>
      </c>
      <c r="V25" s="4" t="str">
        <f t="shared" si="7"/>
        <v/>
      </c>
      <c r="W25" s="6" t="str">
        <f t="shared" si="8"/>
        <v/>
      </c>
      <c r="X25" s="22" t="str">
        <f t="shared" si="9"/>
        <v/>
      </c>
      <c r="Y25" s="22" t="str">
        <f t="shared" si="10"/>
        <v/>
      </c>
      <c r="Z25" s="22"/>
      <c r="AA25" s="1">
        <v>22</v>
      </c>
      <c r="AB25" s="1">
        <v>1</v>
      </c>
      <c r="AC25" s="1" t="s">
        <v>38</v>
      </c>
      <c r="AD25" s="2">
        <v>44427</v>
      </c>
      <c r="AE25" s="2">
        <v>43780</v>
      </c>
      <c r="AF25" s="36">
        <v>379.16</v>
      </c>
      <c r="AG25" s="36">
        <v>196.28</v>
      </c>
      <c r="AH25" s="36">
        <v>182.88</v>
      </c>
      <c r="AI25" s="36">
        <v>21.64</v>
      </c>
      <c r="AK25" s="34" t="e">
        <f t="shared" si="21"/>
        <v>#VALUE!</v>
      </c>
      <c r="AL25" s="34" t="e">
        <f t="shared" si="22"/>
        <v>#VALUE!</v>
      </c>
      <c r="AM25" s="34" t="e">
        <f t="shared" si="23"/>
        <v>#VALUE!</v>
      </c>
      <c r="AN25" s="34" t="e">
        <f t="shared" si="24"/>
        <v>#VALUE!</v>
      </c>
    </row>
    <row r="26" spans="2:40" x14ac:dyDescent="0.25">
      <c r="E26" s="25">
        <f t="shared" si="11"/>
        <v>23</v>
      </c>
      <c r="F26" s="26" t="str">
        <f t="shared" si="12"/>
        <v/>
      </c>
      <c r="G26" s="27" t="str">
        <f t="shared" si="13"/>
        <v/>
      </c>
      <c r="H26" s="28" t="str">
        <f t="shared" si="0"/>
        <v/>
      </c>
      <c r="I26" s="3" t="str">
        <f t="shared" si="14"/>
        <v/>
      </c>
      <c r="J26" s="3" t="str">
        <f t="shared" si="1"/>
        <v xml:space="preserve"> </v>
      </c>
      <c r="K26" s="3" t="str">
        <f t="shared" si="15"/>
        <v/>
      </c>
      <c r="L26" s="30" t="str">
        <f t="shared" si="2"/>
        <v/>
      </c>
      <c r="M26" s="29" t="str">
        <f t="shared" si="16"/>
        <v/>
      </c>
      <c r="N26" s="29" t="str">
        <f t="shared" si="17"/>
        <v/>
      </c>
      <c r="O26" s="29" t="str">
        <f t="shared" si="3"/>
        <v/>
      </c>
      <c r="P26" s="29" t="str">
        <f t="shared" si="4"/>
        <v/>
      </c>
      <c r="Q26" s="29" t="str">
        <f t="shared" si="5"/>
        <v/>
      </c>
      <c r="R26" s="23" t="str">
        <f t="shared" si="6"/>
        <v/>
      </c>
      <c r="S26" s="5" t="str">
        <f t="shared" si="18"/>
        <v/>
      </c>
      <c r="T26" s="5" t="str">
        <f t="shared" si="19"/>
        <v/>
      </c>
      <c r="U26" s="5" t="str">
        <f t="shared" si="20"/>
        <v/>
      </c>
      <c r="V26" s="4" t="str">
        <f t="shared" si="7"/>
        <v/>
      </c>
      <c r="W26" s="6" t="str">
        <f t="shared" si="8"/>
        <v/>
      </c>
      <c r="X26" s="22" t="str">
        <f t="shared" si="9"/>
        <v/>
      </c>
      <c r="Y26" s="22" t="str">
        <f t="shared" si="10"/>
        <v/>
      </c>
      <c r="Z26" s="22"/>
      <c r="AA26" s="1">
        <v>23</v>
      </c>
      <c r="AB26" s="1">
        <v>1</v>
      </c>
      <c r="AC26" s="1" t="s">
        <v>38</v>
      </c>
      <c r="AD26" s="2">
        <v>44458</v>
      </c>
      <c r="AE26" s="2">
        <v>43780</v>
      </c>
      <c r="AF26" s="36">
        <v>379.16</v>
      </c>
      <c r="AG26" s="36">
        <v>199.6</v>
      </c>
      <c r="AH26" s="36">
        <v>179.56</v>
      </c>
      <c r="AI26" s="36">
        <v>21.24</v>
      </c>
      <c r="AK26" s="34" t="e">
        <f t="shared" si="21"/>
        <v>#VALUE!</v>
      </c>
      <c r="AL26" s="34" t="e">
        <f t="shared" si="22"/>
        <v>#VALUE!</v>
      </c>
      <c r="AM26" s="34" t="e">
        <f t="shared" si="23"/>
        <v>#VALUE!</v>
      </c>
      <c r="AN26" s="34" t="e">
        <f t="shared" si="24"/>
        <v>#VALUE!</v>
      </c>
    </row>
    <row r="27" spans="2:40" x14ac:dyDescent="0.25">
      <c r="E27" s="25">
        <f t="shared" si="11"/>
        <v>24</v>
      </c>
      <c r="F27" s="26" t="str">
        <f t="shared" si="12"/>
        <v/>
      </c>
      <c r="G27" s="27" t="str">
        <f t="shared" si="13"/>
        <v/>
      </c>
      <c r="H27" s="28" t="str">
        <f t="shared" si="0"/>
        <v/>
      </c>
      <c r="I27" s="3" t="str">
        <f t="shared" si="14"/>
        <v/>
      </c>
      <c r="J27" s="7" t="str">
        <f t="shared" si="1"/>
        <v xml:space="preserve"> </v>
      </c>
      <c r="K27" s="3" t="str">
        <f t="shared" si="15"/>
        <v/>
      </c>
      <c r="L27" s="30" t="str">
        <f t="shared" si="2"/>
        <v/>
      </c>
      <c r="M27" s="29" t="str">
        <f t="shared" si="16"/>
        <v/>
      </c>
      <c r="N27" s="29" t="str">
        <f t="shared" si="17"/>
        <v/>
      </c>
      <c r="O27" s="29" t="str">
        <f t="shared" si="3"/>
        <v/>
      </c>
      <c r="P27" s="29" t="str">
        <f t="shared" si="4"/>
        <v/>
      </c>
      <c r="Q27" s="29" t="str">
        <f t="shared" si="5"/>
        <v/>
      </c>
      <c r="R27" s="23" t="str">
        <f t="shared" si="6"/>
        <v/>
      </c>
      <c r="S27" s="5" t="str">
        <f t="shared" si="18"/>
        <v/>
      </c>
      <c r="T27" s="5" t="str">
        <f t="shared" si="19"/>
        <v/>
      </c>
      <c r="U27" s="5" t="str">
        <f t="shared" si="20"/>
        <v/>
      </c>
      <c r="V27" s="4" t="str">
        <f t="shared" si="7"/>
        <v/>
      </c>
      <c r="W27" s="6" t="str">
        <f t="shared" si="8"/>
        <v/>
      </c>
      <c r="X27" s="22" t="str">
        <f t="shared" si="9"/>
        <v/>
      </c>
      <c r="Y27" s="22" t="str">
        <f t="shared" si="10"/>
        <v/>
      </c>
      <c r="Z27" s="22"/>
      <c r="AA27" s="1">
        <v>24</v>
      </c>
      <c r="AB27" s="1">
        <v>1</v>
      </c>
      <c r="AC27" s="1" t="s">
        <v>38</v>
      </c>
      <c r="AD27" s="2">
        <v>44488</v>
      </c>
      <c r="AE27" s="2">
        <v>43780</v>
      </c>
      <c r="AF27" s="36">
        <v>379.16</v>
      </c>
      <c r="AG27" s="36">
        <v>208.65</v>
      </c>
      <c r="AH27" s="36">
        <v>170.51</v>
      </c>
      <c r="AI27" s="36">
        <v>20.85</v>
      </c>
      <c r="AK27" s="34" t="e">
        <f t="shared" si="21"/>
        <v>#VALUE!</v>
      </c>
      <c r="AL27" s="34" t="e">
        <f t="shared" si="22"/>
        <v>#VALUE!</v>
      </c>
      <c r="AM27" s="34" t="e">
        <f t="shared" si="23"/>
        <v>#VALUE!</v>
      </c>
      <c r="AN27" s="34" t="e">
        <f t="shared" si="24"/>
        <v>#VALUE!</v>
      </c>
    </row>
    <row r="28" spans="2:40" x14ac:dyDescent="0.25">
      <c r="E28" s="25">
        <f t="shared" si="11"/>
        <v>25</v>
      </c>
      <c r="F28" s="26" t="str">
        <f t="shared" si="12"/>
        <v/>
      </c>
      <c r="G28" s="27" t="str">
        <f t="shared" si="13"/>
        <v/>
      </c>
      <c r="H28" s="28" t="str">
        <f t="shared" si="0"/>
        <v/>
      </c>
      <c r="I28" s="3" t="str">
        <f t="shared" si="14"/>
        <v/>
      </c>
      <c r="J28" s="3" t="str">
        <f t="shared" si="1"/>
        <v xml:space="preserve"> </v>
      </c>
      <c r="K28" s="3" t="str">
        <f t="shared" si="15"/>
        <v/>
      </c>
      <c r="L28" s="30" t="str">
        <f t="shared" si="2"/>
        <v/>
      </c>
      <c r="M28" s="29" t="str">
        <f t="shared" si="16"/>
        <v/>
      </c>
      <c r="N28" s="29" t="str">
        <f t="shared" si="17"/>
        <v/>
      </c>
      <c r="O28" s="29" t="str">
        <f t="shared" si="3"/>
        <v/>
      </c>
      <c r="P28" s="29" t="str">
        <f t="shared" si="4"/>
        <v/>
      </c>
      <c r="Q28" s="29" t="str">
        <f t="shared" si="5"/>
        <v/>
      </c>
      <c r="R28" s="23" t="str">
        <f t="shared" si="6"/>
        <v/>
      </c>
      <c r="S28" s="5" t="str">
        <f t="shared" si="18"/>
        <v/>
      </c>
      <c r="T28" s="5" t="str">
        <f t="shared" si="19"/>
        <v/>
      </c>
      <c r="U28" s="5" t="str">
        <f t="shared" si="20"/>
        <v/>
      </c>
      <c r="V28" s="4" t="str">
        <f t="shared" si="7"/>
        <v/>
      </c>
      <c r="W28" s="6" t="str">
        <f t="shared" si="8"/>
        <v/>
      </c>
      <c r="X28" s="22" t="str">
        <f t="shared" si="9"/>
        <v/>
      </c>
      <c r="Y28" s="22" t="str">
        <f t="shared" si="10"/>
        <v/>
      </c>
      <c r="Z28" s="22"/>
      <c r="AA28" s="1">
        <v>25</v>
      </c>
      <c r="AB28" s="1">
        <v>1</v>
      </c>
      <c r="AC28" s="1" t="s">
        <v>38</v>
      </c>
      <c r="AD28" s="2">
        <v>44519</v>
      </c>
      <c r="AE28" s="2">
        <v>43780</v>
      </c>
      <c r="AF28" s="36">
        <v>379.16</v>
      </c>
      <c r="AG28" s="36">
        <v>206.5</v>
      </c>
      <c r="AH28" s="36">
        <v>172.66</v>
      </c>
      <c r="AI28" s="36">
        <v>20.43</v>
      </c>
      <c r="AK28" s="34" t="e">
        <f t="shared" si="21"/>
        <v>#VALUE!</v>
      </c>
      <c r="AL28" s="34" t="e">
        <f t="shared" si="22"/>
        <v>#VALUE!</v>
      </c>
      <c r="AM28" s="34" t="e">
        <f t="shared" si="23"/>
        <v>#VALUE!</v>
      </c>
      <c r="AN28" s="34" t="e">
        <f t="shared" si="24"/>
        <v>#VALUE!</v>
      </c>
    </row>
    <row r="29" spans="2:40" x14ac:dyDescent="0.25">
      <c r="E29" s="25">
        <f t="shared" si="11"/>
        <v>26</v>
      </c>
      <c r="F29" s="26" t="str">
        <f t="shared" si="12"/>
        <v/>
      </c>
      <c r="G29" s="27" t="str">
        <f t="shared" si="13"/>
        <v/>
      </c>
      <c r="H29" s="28" t="str">
        <f t="shared" si="0"/>
        <v/>
      </c>
      <c r="I29" s="3" t="str">
        <f t="shared" si="14"/>
        <v/>
      </c>
      <c r="J29" s="3" t="str">
        <f t="shared" si="1"/>
        <v xml:space="preserve"> </v>
      </c>
      <c r="K29" s="3" t="str">
        <f t="shared" si="15"/>
        <v/>
      </c>
      <c r="L29" s="30" t="str">
        <f t="shared" si="2"/>
        <v/>
      </c>
      <c r="M29" s="29" t="str">
        <f t="shared" si="16"/>
        <v/>
      </c>
      <c r="N29" s="29" t="str">
        <f t="shared" si="17"/>
        <v/>
      </c>
      <c r="O29" s="29" t="str">
        <f t="shared" si="3"/>
        <v/>
      </c>
      <c r="P29" s="29" t="str">
        <f t="shared" si="4"/>
        <v/>
      </c>
      <c r="Q29" s="29" t="str">
        <f t="shared" si="5"/>
        <v/>
      </c>
      <c r="R29" s="23" t="str">
        <f t="shared" si="6"/>
        <v/>
      </c>
      <c r="S29" s="5" t="str">
        <f t="shared" si="18"/>
        <v/>
      </c>
      <c r="T29" s="5" t="str">
        <f t="shared" si="19"/>
        <v/>
      </c>
      <c r="U29" s="5" t="str">
        <f t="shared" si="20"/>
        <v/>
      </c>
      <c r="V29" s="4" t="str">
        <f t="shared" si="7"/>
        <v/>
      </c>
      <c r="W29" s="6" t="str">
        <f t="shared" si="8"/>
        <v/>
      </c>
      <c r="X29" s="22" t="str">
        <f t="shared" si="9"/>
        <v/>
      </c>
      <c r="Y29" s="22" t="str">
        <f t="shared" si="10"/>
        <v/>
      </c>
      <c r="Z29" s="22"/>
      <c r="AA29" s="1">
        <v>26</v>
      </c>
      <c r="AB29" s="1">
        <v>1</v>
      </c>
      <c r="AC29" s="1" t="s">
        <v>38</v>
      </c>
      <c r="AD29" s="2">
        <v>44549</v>
      </c>
      <c r="AE29" s="2">
        <v>43780</v>
      </c>
      <c r="AF29" s="36">
        <v>379.16</v>
      </c>
      <c r="AG29" s="36">
        <v>215.44</v>
      </c>
      <c r="AH29" s="36">
        <v>163.72</v>
      </c>
      <c r="AI29" s="36">
        <v>20.010000000000002</v>
      </c>
      <c r="AK29" s="34" t="e">
        <f t="shared" si="21"/>
        <v>#VALUE!</v>
      </c>
      <c r="AL29" s="34" t="e">
        <f t="shared" si="22"/>
        <v>#VALUE!</v>
      </c>
      <c r="AM29" s="34" t="e">
        <f t="shared" si="23"/>
        <v>#VALUE!</v>
      </c>
      <c r="AN29" s="34" t="e">
        <f t="shared" si="24"/>
        <v>#VALUE!</v>
      </c>
    </row>
    <row r="30" spans="2:40" x14ac:dyDescent="0.25">
      <c r="E30" s="25">
        <f t="shared" si="11"/>
        <v>27</v>
      </c>
      <c r="F30" s="26" t="str">
        <f t="shared" si="12"/>
        <v/>
      </c>
      <c r="G30" s="27" t="str">
        <f t="shared" si="13"/>
        <v/>
      </c>
      <c r="H30" s="28" t="str">
        <f t="shared" si="0"/>
        <v/>
      </c>
      <c r="I30" s="3" t="str">
        <f t="shared" si="14"/>
        <v/>
      </c>
      <c r="J30" s="3" t="str">
        <f t="shared" si="1"/>
        <v xml:space="preserve"> </v>
      </c>
      <c r="K30" s="3" t="str">
        <f t="shared" si="15"/>
        <v/>
      </c>
      <c r="L30" s="30" t="str">
        <f t="shared" si="2"/>
        <v/>
      </c>
      <c r="M30" s="29" t="str">
        <f t="shared" si="16"/>
        <v/>
      </c>
      <c r="N30" s="29" t="str">
        <f t="shared" si="17"/>
        <v/>
      </c>
      <c r="O30" s="29" t="str">
        <f t="shared" si="3"/>
        <v/>
      </c>
      <c r="P30" s="29" t="str">
        <f t="shared" si="4"/>
        <v/>
      </c>
      <c r="Q30" s="29" t="str">
        <f t="shared" si="5"/>
        <v/>
      </c>
      <c r="R30" s="23" t="str">
        <f t="shared" si="6"/>
        <v/>
      </c>
      <c r="S30" s="5" t="str">
        <f t="shared" si="18"/>
        <v/>
      </c>
      <c r="T30" s="5" t="str">
        <f t="shared" si="19"/>
        <v/>
      </c>
      <c r="U30" s="5" t="str">
        <f t="shared" si="20"/>
        <v/>
      </c>
      <c r="V30" s="4" t="str">
        <f t="shared" si="7"/>
        <v/>
      </c>
      <c r="W30" s="6" t="str">
        <f t="shared" si="8"/>
        <v/>
      </c>
      <c r="X30" s="22" t="str">
        <f t="shared" si="9"/>
        <v/>
      </c>
      <c r="Y30" s="22" t="str">
        <f t="shared" si="10"/>
        <v/>
      </c>
      <c r="Z30" s="22"/>
      <c r="AA30" s="1">
        <v>27</v>
      </c>
      <c r="AB30" s="1">
        <v>1</v>
      </c>
      <c r="AC30" s="1" t="s">
        <v>38</v>
      </c>
      <c r="AD30" s="2">
        <v>44580</v>
      </c>
      <c r="AE30" s="2">
        <v>43780</v>
      </c>
      <c r="AF30" s="36">
        <v>379.16</v>
      </c>
      <c r="AG30" s="36">
        <v>213.63</v>
      </c>
      <c r="AH30" s="36">
        <v>165.53</v>
      </c>
      <c r="AI30" s="36">
        <v>19.579999999999998</v>
      </c>
      <c r="AK30" s="34" t="e">
        <f t="shared" si="21"/>
        <v>#VALUE!</v>
      </c>
      <c r="AL30" s="34" t="e">
        <f t="shared" si="22"/>
        <v>#VALUE!</v>
      </c>
      <c r="AM30" s="34" t="e">
        <f t="shared" si="23"/>
        <v>#VALUE!</v>
      </c>
      <c r="AN30" s="34" t="e">
        <f t="shared" si="24"/>
        <v>#VALUE!</v>
      </c>
    </row>
    <row r="31" spans="2:40" x14ac:dyDescent="0.25">
      <c r="E31" s="25">
        <f t="shared" si="11"/>
        <v>28</v>
      </c>
      <c r="F31" s="26" t="str">
        <f t="shared" si="12"/>
        <v/>
      </c>
      <c r="G31" s="27" t="str">
        <f t="shared" si="13"/>
        <v/>
      </c>
      <c r="H31" s="28" t="str">
        <f t="shared" si="0"/>
        <v/>
      </c>
      <c r="I31" s="3" t="str">
        <f t="shared" si="14"/>
        <v/>
      </c>
      <c r="J31" s="3" t="str">
        <f t="shared" si="1"/>
        <v xml:space="preserve"> </v>
      </c>
      <c r="K31" s="3" t="str">
        <f t="shared" si="15"/>
        <v/>
      </c>
      <c r="L31" s="30" t="str">
        <f t="shared" si="2"/>
        <v/>
      </c>
      <c r="M31" s="29" t="str">
        <f t="shared" si="16"/>
        <v/>
      </c>
      <c r="N31" s="29" t="str">
        <f t="shared" si="17"/>
        <v/>
      </c>
      <c r="O31" s="29" t="str">
        <f t="shared" si="3"/>
        <v/>
      </c>
      <c r="P31" s="29" t="str">
        <f t="shared" si="4"/>
        <v/>
      </c>
      <c r="Q31" s="29" t="str">
        <f t="shared" si="5"/>
        <v/>
      </c>
      <c r="R31" s="23" t="str">
        <f t="shared" si="6"/>
        <v/>
      </c>
      <c r="S31" s="5" t="str">
        <f t="shared" si="18"/>
        <v/>
      </c>
      <c r="T31" s="5" t="str">
        <f t="shared" si="19"/>
        <v/>
      </c>
      <c r="U31" s="5" t="str">
        <f t="shared" si="20"/>
        <v/>
      </c>
      <c r="V31" s="4" t="str">
        <f t="shared" si="7"/>
        <v/>
      </c>
      <c r="W31" s="6" t="str">
        <f t="shared" si="8"/>
        <v/>
      </c>
      <c r="X31" s="22" t="str">
        <f t="shared" si="9"/>
        <v/>
      </c>
      <c r="Y31" s="22" t="str">
        <f t="shared" si="10"/>
        <v/>
      </c>
      <c r="Z31" s="22"/>
      <c r="AA31" s="1">
        <v>28</v>
      </c>
      <c r="AB31" s="1">
        <v>1</v>
      </c>
      <c r="AC31" s="1" t="s">
        <v>38</v>
      </c>
      <c r="AD31" s="2">
        <v>44611</v>
      </c>
      <c r="AE31" s="2">
        <v>43780</v>
      </c>
      <c r="AF31" s="36">
        <v>379.16</v>
      </c>
      <c r="AG31" s="36">
        <v>217.24</v>
      </c>
      <c r="AH31" s="36">
        <v>161.91999999999999</v>
      </c>
      <c r="AI31" s="36">
        <v>19.16</v>
      </c>
      <c r="AK31" s="34" t="e">
        <f t="shared" si="21"/>
        <v>#VALUE!</v>
      </c>
      <c r="AL31" s="34" t="e">
        <f t="shared" si="22"/>
        <v>#VALUE!</v>
      </c>
      <c r="AM31" s="34" t="e">
        <f t="shared" si="23"/>
        <v>#VALUE!</v>
      </c>
      <c r="AN31" s="34" t="e">
        <f t="shared" si="24"/>
        <v>#VALUE!</v>
      </c>
    </row>
    <row r="32" spans="2:40" x14ac:dyDescent="0.25">
      <c r="E32" s="25">
        <f t="shared" si="11"/>
        <v>29</v>
      </c>
      <c r="F32" s="26" t="str">
        <f t="shared" si="12"/>
        <v/>
      </c>
      <c r="G32" s="27" t="str">
        <f t="shared" si="13"/>
        <v/>
      </c>
      <c r="H32" s="28" t="str">
        <f t="shared" si="0"/>
        <v/>
      </c>
      <c r="I32" s="3" t="str">
        <f t="shared" si="14"/>
        <v/>
      </c>
      <c r="J32" s="3" t="str">
        <f t="shared" si="1"/>
        <v xml:space="preserve"> </v>
      </c>
      <c r="K32" s="3" t="str">
        <f t="shared" si="15"/>
        <v/>
      </c>
      <c r="L32" s="30" t="str">
        <f t="shared" si="2"/>
        <v/>
      </c>
      <c r="M32" s="29" t="str">
        <f t="shared" si="16"/>
        <v/>
      </c>
      <c r="N32" s="29" t="str">
        <f t="shared" si="17"/>
        <v/>
      </c>
      <c r="O32" s="29" t="str">
        <f t="shared" si="3"/>
        <v/>
      </c>
      <c r="P32" s="29" t="str">
        <f t="shared" si="4"/>
        <v/>
      </c>
      <c r="Q32" s="29" t="str">
        <f t="shared" si="5"/>
        <v/>
      </c>
      <c r="R32" s="23" t="str">
        <f t="shared" si="6"/>
        <v/>
      </c>
      <c r="S32" s="5" t="str">
        <f t="shared" si="18"/>
        <v/>
      </c>
      <c r="T32" s="5" t="str">
        <f t="shared" si="19"/>
        <v/>
      </c>
      <c r="U32" s="5" t="str">
        <f t="shared" si="20"/>
        <v/>
      </c>
      <c r="V32" s="4" t="str">
        <f t="shared" si="7"/>
        <v/>
      </c>
      <c r="W32" s="6" t="str">
        <f t="shared" si="8"/>
        <v/>
      </c>
      <c r="X32" s="22" t="str">
        <f t="shared" si="9"/>
        <v/>
      </c>
      <c r="Y32" s="22" t="str">
        <f t="shared" si="10"/>
        <v/>
      </c>
      <c r="Z32" s="22"/>
      <c r="AA32" s="1">
        <v>29</v>
      </c>
      <c r="AB32" s="1">
        <v>1</v>
      </c>
      <c r="AC32" s="1" t="s">
        <v>38</v>
      </c>
      <c r="AD32" s="2">
        <v>44639</v>
      </c>
      <c r="AE32" s="2">
        <v>43780</v>
      </c>
      <c r="AF32" s="36">
        <v>379.16</v>
      </c>
      <c r="AG32" s="36">
        <v>236.23</v>
      </c>
      <c r="AH32" s="36">
        <v>142.93</v>
      </c>
      <c r="AI32" s="36">
        <v>18.72</v>
      </c>
      <c r="AK32" s="34" t="e">
        <f t="shared" si="21"/>
        <v>#VALUE!</v>
      </c>
      <c r="AL32" s="34" t="e">
        <f t="shared" si="22"/>
        <v>#VALUE!</v>
      </c>
      <c r="AM32" s="34" t="e">
        <f t="shared" si="23"/>
        <v>#VALUE!</v>
      </c>
      <c r="AN32" s="34" t="e">
        <f t="shared" si="24"/>
        <v>#VALUE!</v>
      </c>
    </row>
    <row r="33" spans="5:40" x14ac:dyDescent="0.25">
      <c r="E33" s="25">
        <f t="shared" si="11"/>
        <v>30</v>
      </c>
      <c r="F33" s="26" t="str">
        <f t="shared" si="12"/>
        <v/>
      </c>
      <c r="G33" s="27" t="str">
        <f t="shared" si="13"/>
        <v/>
      </c>
      <c r="H33" s="28" t="str">
        <f t="shared" si="0"/>
        <v/>
      </c>
      <c r="I33" s="3" t="str">
        <f t="shared" si="14"/>
        <v/>
      </c>
      <c r="J33" s="3" t="str">
        <f t="shared" si="1"/>
        <v xml:space="preserve"> </v>
      </c>
      <c r="K33" s="3" t="str">
        <f t="shared" si="15"/>
        <v/>
      </c>
      <c r="L33" s="30" t="str">
        <f t="shared" si="2"/>
        <v/>
      </c>
      <c r="M33" s="29" t="str">
        <f t="shared" si="16"/>
        <v/>
      </c>
      <c r="N33" s="29" t="str">
        <f t="shared" si="17"/>
        <v/>
      </c>
      <c r="O33" s="29" t="str">
        <f t="shared" si="3"/>
        <v/>
      </c>
      <c r="P33" s="29" t="str">
        <f t="shared" si="4"/>
        <v/>
      </c>
      <c r="Q33" s="29" t="str">
        <f t="shared" si="5"/>
        <v/>
      </c>
      <c r="R33" s="23" t="str">
        <f t="shared" si="6"/>
        <v/>
      </c>
      <c r="S33" s="5" t="str">
        <f t="shared" si="18"/>
        <v/>
      </c>
      <c r="T33" s="5" t="str">
        <f t="shared" si="19"/>
        <v/>
      </c>
      <c r="U33" s="5" t="str">
        <f t="shared" si="20"/>
        <v/>
      </c>
      <c r="V33" s="4" t="str">
        <f t="shared" si="7"/>
        <v/>
      </c>
      <c r="W33" s="6" t="str">
        <f t="shared" si="8"/>
        <v/>
      </c>
      <c r="X33" s="22" t="str">
        <f t="shared" si="9"/>
        <v/>
      </c>
      <c r="Y33" s="22" t="str">
        <f t="shared" si="10"/>
        <v/>
      </c>
      <c r="Z33" s="22"/>
      <c r="AA33" s="1">
        <v>30</v>
      </c>
      <c r="AB33" s="1">
        <v>1</v>
      </c>
      <c r="AC33" s="1" t="s">
        <v>38</v>
      </c>
      <c r="AD33" s="2">
        <v>44670</v>
      </c>
      <c r="AE33" s="2">
        <v>43780</v>
      </c>
      <c r="AF33" s="36">
        <v>379.16</v>
      </c>
      <c r="AG33" s="36">
        <v>224.9</v>
      </c>
      <c r="AH33" s="36">
        <v>154.26</v>
      </c>
      <c r="AI33" s="36">
        <v>18.25</v>
      </c>
      <c r="AK33" s="34" t="e">
        <f t="shared" si="21"/>
        <v>#VALUE!</v>
      </c>
      <c r="AL33" s="34" t="e">
        <f t="shared" si="22"/>
        <v>#VALUE!</v>
      </c>
      <c r="AM33" s="34" t="e">
        <f t="shared" si="23"/>
        <v>#VALUE!</v>
      </c>
      <c r="AN33" s="34" t="e">
        <f t="shared" si="24"/>
        <v>#VALUE!</v>
      </c>
    </row>
    <row r="34" spans="5:40" x14ac:dyDescent="0.25">
      <c r="E34" s="25">
        <f t="shared" si="11"/>
        <v>31</v>
      </c>
      <c r="F34" s="26" t="str">
        <f t="shared" si="12"/>
        <v/>
      </c>
      <c r="G34" s="27" t="str">
        <f t="shared" si="13"/>
        <v/>
      </c>
      <c r="H34" s="28" t="str">
        <f t="shared" si="0"/>
        <v/>
      </c>
      <c r="I34" s="3" t="str">
        <f t="shared" si="14"/>
        <v/>
      </c>
      <c r="J34" s="3" t="str">
        <f t="shared" si="1"/>
        <v xml:space="preserve"> </v>
      </c>
      <c r="K34" s="3" t="str">
        <f t="shared" si="15"/>
        <v/>
      </c>
      <c r="L34" s="30" t="str">
        <f t="shared" si="2"/>
        <v/>
      </c>
      <c r="M34" s="29" t="str">
        <f t="shared" si="16"/>
        <v/>
      </c>
      <c r="N34" s="29" t="str">
        <f t="shared" si="17"/>
        <v/>
      </c>
      <c r="O34" s="29" t="str">
        <f t="shared" si="3"/>
        <v/>
      </c>
      <c r="P34" s="29" t="str">
        <f t="shared" si="4"/>
        <v/>
      </c>
      <c r="Q34" s="29" t="str">
        <f t="shared" si="5"/>
        <v/>
      </c>
      <c r="R34" s="23" t="str">
        <f t="shared" si="6"/>
        <v/>
      </c>
      <c r="S34" s="5" t="str">
        <f t="shared" si="18"/>
        <v/>
      </c>
      <c r="T34" s="5" t="str">
        <f t="shared" si="19"/>
        <v/>
      </c>
      <c r="U34" s="5" t="str">
        <f t="shared" si="20"/>
        <v/>
      </c>
      <c r="V34" s="4" t="str">
        <f t="shared" si="7"/>
        <v/>
      </c>
      <c r="W34" s="6" t="str">
        <f t="shared" si="8"/>
        <v/>
      </c>
      <c r="X34" s="22" t="str">
        <f t="shared" si="9"/>
        <v/>
      </c>
      <c r="Y34" s="22" t="str">
        <f t="shared" si="10"/>
        <v/>
      </c>
      <c r="Z34" s="22"/>
      <c r="AA34" s="1">
        <v>31</v>
      </c>
      <c r="AB34" s="1">
        <v>1</v>
      </c>
      <c r="AC34" s="1" t="s">
        <v>38</v>
      </c>
      <c r="AD34" s="2">
        <v>44700</v>
      </c>
      <c r="AE34" s="2">
        <v>43780</v>
      </c>
      <c r="AF34" s="36">
        <v>379.16</v>
      </c>
      <c r="AG34" s="36">
        <v>233.56</v>
      </c>
      <c r="AH34" s="36">
        <v>145.6</v>
      </c>
      <c r="AI34" s="36">
        <v>17.8</v>
      </c>
      <c r="AK34" s="34" t="e">
        <f t="shared" si="21"/>
        <v>#VALUE!</v>
      </c>
      <c r="AL34" s="34" t="e">
        <f t="shared" si="22"/>
        <v>#VALUE!</v>
      </c>
      <c r="AM34" s="34" t="e">
        <f t="shared" si="23"/>
        <v>#VALUE!</v>
      </c>
      <c r="AN34" s="34" t="e">
        <f t="shared" si="24"/>
        <v>#VALUE!</v>
      </c>
    </row>
    <row r="35" spans="5:40" x14ac:dyDescent="0.25">
      <c r="E35" s="25">
        <f t="shared" si="11"/>
        <v>32</v>
      </c>
      <c r="F35" s="26" t="str">
        <f t="shared" si="12"/>
        <v/>
      </c>
      <c r="G35" s="27" t="str">
        <f t="shared" si="13"/>
        <v/>
      </c>
      <c r="H35" s="28" t="str">
        <f t="shared" si="0"/>
        <v/>
      </c>
      <c r="I35" s="3" t="str">
        <f t="shared" si="14"/>
        <v/>
      </c>
      <c r="J35" s="3" t="str">
        <f t="shared" si="1"/>
        <v xml:space="preserve"> </v>
      </c>
      <c r="K35" s="3" t="str">
        <f t="shared" si="15"/>
        <v/>
      </c>
      <c r="L35" s="30" t="str">
        <f t="shared" si="2"/>
        <v/>
      </c>
      <c r="M35" s="29" t="str">
        <f t="shared" si="16"/>
        <v/>
      </c>
      <c r="N35" s="29" t="str">
        <f t="shared" si="17"/>
        <v/>
      </c>
      <c r="O35" s="29" t="str">
        <f t="shared" si="3"/>
        <v/>
      </c>
      <c r="P35" s="29" t="str">
        <f t="shared" si="4"/>
        <v/>
      </c>
      <c r="Q35" s="29" t="str">
        <f t="shared" si="5"/>
        <v/>
      </c>
      <c r="R35" s="23" t="str">
        <f t="shared" si="6"/>
        <v/>
      </c>
      <c r="S35" s="5" t="str">
        <f t="shared" si="18"/>
        <v/>
      </c>
      <c r="T35" s="5" t="str">
        <f t="shared" si="19"/>
        <v/>
      </c>
      <c r="U35" s="5" t="str">
        <f t="shared" si="20"/>
        <v/>
      </c>
      <c r="V35" s="4" t="str">
        <f t="shared" si="7"/>
        <v/>
      </c>
      <c r="W35" s="6" t="str">
        <f t="shared" si="8"/>
        <v/>
      </c>
      <c r="X35" s="22" t="str">
        <f t="shared" si="9"/>
        <v/>
      </c>
      <c r="Y35" s="22" t="str">
        <f t="shared" si="10"/>
        <v/>
      </c>
      <c r="Z35" s="22"/>
      <c r="AA35" s="1">
        <v>32</v>
      </c>
      <c r="AB35" s="1">
        <v>1</v>
      </c>
      <c r="AC35" s="1" t="s">
        <v>38</v>
      </c>
      <c r="AD35" s="2">
        <v>44731</v>
      </c>
      <c r="AE35" s="2">
        <v>43780</v>
      </c>
      <c r="AF35" s="36">
        <v>379.16</v>
      </c>
      <c r="AG35" s="36">
        <v>232.65</v>
      </c>
      <c r="AH35" s="36">
        <v>146.51</v>
      </c>
      <c r="AI35" s="36">
        <v>17.329999999999998</v>
      </c>
      <c r="AK35" s="34" t="e">
        <f t="shared" si="21"/>
        <v>#VALUE!</v>
      </c>
      <c r="AL35" s="34" t="e">
        <f t="shared" si="22"/>
        <v>#VALUE!</v>
      </c>
      <c r="AM35" s="34" t="e">
        <f t="shared" si="23"/>
        <v>#VALUE!</v>
      </c>
      <c r="AN35" s="34" t="e">
        <f t="shared" si="24"/>
        <v>#VALUE!</v>
      </c>
    </row>
    <row r="36" spans="5:40" x14ac:dyDescent="0.25">
      <c r="E36" s="25">
        <f t="shared" si="11"/>
        <v>33</v>
      </c>
      <c r="F36" s="26" t="str">
        <f t="shared" si="12"/>
        <v/>
      </c>
      <c r="G36" s="27" t="str">
        <f t="shared" si="13"/>
        <v/>
      </c>
      <c r="H36" s="28" t="str">
        <f t="shared" si="0"/>
        <v/>
      </c>
      <c r="I36" s="3" t="str">
        <f t="shared" si="14"/>
        <v/>
      </c>
      <c r="J36" s="3" t="str">
        <f t="shared" si="1"/>
        <v xml:space="preserve"> </v>
      </c>
      <c r="K36" s="3" t="str">
        <f t="shared" si="15"/>
        <v/>
      </c>
      <c r="L36" s="30" t="str">
        <f t="shared" si="2"/>
        <v/>
      </c>
      <c r="M36" s="29" t="str">
        <f t="shared" si="16"/>
        <v/>
      </c>
      <c r="N36" s="29" t="str">
        <f t="shared" si="17"/>
        <v/>
      </c>
      <c r="O36" s="29" t="str">
        <f t="shared" si="3"/>
        <v/>
      </c>
      <c r="P36" s="29" t="str">
        <f t="shared" si="4"/>
        <v/>
      </c>
      <c r="Q36" s="29" t="str">
        <f t="shared" si="5"/>
        <v/>
      </c>
      <c r="R36" s="23" t="str">
        <f t="shared" si="6"/>
        <v/>
      </c>
      <c r="S36" s="5" t="str">
        <f t="shared" si="18"/>
        <v/>
      </c>
      <c r="T36" s="5" t="str">
        <f t="shared" si="19"/>
        <v/>
      </c>
      <c r="U36" s="5" t="str">
        <f t="shared" si="20"/>
        <v/>
      </c>
      <c r="V36" s="4" t="str">
        <f t="shared" ref="V36:V69" si="25">IFERROR(IF(E36=" "," ",IF($E36&lt;=$C$16,SUM(T36-S36)*$C$14/IF(DAY(DATE(MID(T36,7,4),3,0))=29,366,365),SUM(T36-S36)*$C$15/IF(DAY(DATE(MID(T36,7,4),3,0))=29,366,365))),"")</f>
        <v/>
      </c>
      <c r="W36" s="6" t="str">
        <f t="shared" si="8"/>
        <v/>
      </c>
      <c r="X36" s="22" t="str">
        <f t="shared" si="9"/>
        <v/>
      </c>
      <c r="Y36" s="22" t="str">
        <f t="shared" si="10"/>
        <v/>
      </c>
      <c r="Z36" s="22"/>
      <c r="AA36" s="1">
        <v>33</v>
      </c>
      <c r="AB36" s="1">
        <v>1</v>
      </c>
      <c r="AC36" s="1" t="s">
        <v>38</v>
      </c>
      <c r="AD36" s="2">
        <v>44761</v>
      </c>
      <c r="AE36" s="2">
        <v>43780</v>
      </c>
      <c r="AF36" s="36">
        <v>379.16</v>
      </c>
      <c r="AG36" s="36">
        <v>241.18</v>
      </c>
      <c r="AH36" s="36">
        <v>137.97999999999999</v>
      </c>
      <c r="AI36" s="36">
        <v>16.87</v>
      </c>
      <c r="AK36" s="34" t="e">
        <f t="shared" si="21"/>
        <v>#VALUE!</v>
      </c>
      <c r="AL36" s="34" t="e">
        <f t="shared" si="22"/>
        <v>#VALUE!</v>
      </c>
      <c r="AM36" s="34" t="e">
        <f t="shared" si="23"/>
        <v>#VALUE!</v>
      </c>
      <c r="AN36" s="34" t="e">
        <f t="shared" si="24"/>
        <v>#VALUE!</v>
      </c>
    </row>
    <row r="37" spans="5:40" x14ac:dyDescent="0.25">
      <c r="E37" s="25">
        <f t="shared" si="11"/>
        <v>34</v>
      </c>
      <c r="F37" s="26" t="str">
        <f t="shared" si="12"/>
        <v/>
      </c>
      <c r="G37" s="27" t="str">
        <f t="shared" si="13"/>
        <v/>
      </c>
      <c r="H37" s="28" t="str">
        <f t="shared" si="0"/>
        <v/>
      </c>
      <c r="I37" s="3" t="str">
        <f t="shared" si="14"/>
        <v/>
      </c>
      <c r="J37" s="3" t="str">
        <f t="shared" si="1"/>
        <v xml:space="preserve"> </v>
      </c>
      <c r="K37" s="3" t="str">
        <f t="shared" si="15"/>
        <v/>
      </c>
      <c r="L37" s="30" t="str">
        <f t="shared" si="2"/>
        <v/>
      </c>
      <c r="M37" s="29" t="str">
        <f t="shared" si="16"/>
        <v/>
      </c>
      <c r="N37" s="29" t="str">
        <f t="shared" si="17"/>
        <v/>
      </c>
      <c r="O37" s="29" t="str">
        <f t="shared" si="3"/>
        <v/>
      </c>
      <c r="P37" s="29" t="str">
        <f t="shared" si="4"/>
        <v/>
      </c>
      <c r="Q37" s="29" t="str">
        <f t="shared" si="5"/>
        <v/>
      </c>
      <c r="R37" s="23" t="str">
        <f t="shared" si="6"/>
        <v/>
      </c>
      <c r="S37" s="5" t="str">
        <f t="shared" si="18"/>
        <v/>
      </c>
      <c r="T37" s="5" t="str">
        <f t="shared" si="19"/>
        <v/>
      </c>
      <c r="U37" s="5" t="str">
        <f t="shared" si="20"/>
        <v/>
      </c>
      <c r="V37" s="4" t="str">
        <f t="shared" si="25"/>
        <v/>
      </c>
      <c r="W37" s="6" t="str">
        <f t="shared" si="8"/>
        <v/>
      </c>
      <c r="X37" s="22" t="str">
        <f t="shared" si="9"/>
        <v/>
      </c>
      <c r="Y37" s="22" t="str">
        <f t="shared" si="10"/>
        <v/>
      </c>
      <c r="Z37" s="22"/>
      <c r="AA37" s="1">
        <v>34</v>
      </c>
      <c r="AB37" s="1">
        <v>1</v>
      </c>
      <c r="AC37" s="1" t="s">
        <v>38</v>
      </c>
      <c r="AD37" s="2">
        <v>44792</v>
      </c>
      <c r="AE37" s="2">
        <v>43780</v>
      </c>
      <c r="AF37" s="36">
        <v>379.16</v>
      </c>
      <c r="AG37" s="36">
        <v>240.66</v>
      </c>
      <c r="AH37" s="36">
        <v>138.5</v>
      </c>
      <c r="AI37" s="36">
        <v>16.39</v>
      </c>
      <c r="AK37" s="34" t="e">
        <f t="shared" si="21"/>
        <v>#VALUE!</v>
      </c>
      <c r="AL37" s="34" t="e">
        <f t="shared" si="22"/>
        <v>#VALUE!</v>
      </c>
      <c r="AM37" s="34" t="e">
        <f t="shared" si="23"/>
        <v>#VALUE!</v>
      </c>
      <c r="AN37" s="34" t="e">
        <f t="shared" si="24"/>
        <v>#VALUE!</v>
      </c>
    </row>
    <row r="38" spans="5:40" x14ac:dyDescent="0.25">
      <c r="E38" s="25">
        <f t="shared" si="11"/>
        <v>35</v>
      </c>
      <c r="F38" s="26" t="str">
        <f t="shared" si="12"/>
        <v/>
      </c>
      <c r="G38" s="27" t="str">
        <f t="shared" si="13"/>
        <v/>
      </c>
      <c r="H38" s="28" t="str">
        <f t="shared" si="0"/>
        <v/>
      </c>
      <c r="I38" s="3" t="str">
        <f t="shared" si="14"/>
        <v/>
      </c>
      <c r="J38" s="3" t="str">
        <f t="shared" si="1"/>
        <v xml:space="preserve"> </v>
      </c>
      <c r="K38" s="3" t="str">
        <f t="shared" si="15"/>
        <v/>
      </c>
      <c r="L38" s="30" t="str">
        <f t="shared" si="2"/>
        <v/>
      </c>
      <c r="M38" s="29" t="str">
        <f t="shared" si="16"/>
        <v/>
      </c>
      <c r="N38" s="29" t="str">
        <f t="shared" si="17"/>
        <v/>
      </c>
      <c r="O38" s="29" t="str">
        <f t="shared" si="3"/>
        <v/>
      </c>
      <c r="P38" s="29" t="str">
        <f t="shared" si="4"/>
        <v/>
      </c>
      <c r="Q38" s="29" t="str">
        <f t="shared" si="5"/>
        <v/>
      </c>
      <c r="R38" s="23" t="str">
        <f t="shared" si="6"/>
        <v/>
      </c>
      <c r="S38" s="5" t="str">
        <f t="shared" si="18"/>
        <v/>
      </c>
      <c r="T38" s="5" t="str">
        <f t="shared" si="19"/>
        <v/>
      </c>
      <c r="U38" s="5" t="str">
        <f t="shared" si="20"/>
        <v/>
      </c>
      <c r="V38" s="4" t="str">
        <f t="shared" si="25"/>
        <v/>
      </c>
      <c r="W38" s="6" t="str">
        <f t="shared" si="8"/>
        <v/>
      </c>
      <c r="X38" s="22" t="str">
        <f t="shared" si="9"/>
        <v/>
      </c>
      <c r="Y38" s="22" t="str">
        <f t="shared" si="10"/>
        <v/>
      </c>
      <c r="Z38" s="22"/>
      <c r="AA38" s="1">
        <v>35</v>
      </c>
      <c r="AB38" s="1">
        <v>1</v>
      </c>
      <c r="AC38" s="1" t="s">
        <v>38</v>
      </c>
      <c r="AD38" s="2">
        <v>44823</v>
      </c>
      <c r="AE38" s="2">
        <v>43780</v>
      </c>
      <c r="AF38" s="36">
        <v>379.16</v>
      </c>
      <c r="AG38" s="36">
        <v>244.73</v>
      </c>
      <c r="AH38" s="36">
        <v>134.43</v>
      </c>
      <c r="AI38" s="36">
        <v>15.9</v>
      </c>
      <c r="AK38" s="34" t="e">
        <f t="shared" si="21"/>
        <v>#VALUE!</v>
      </c>
      <c r="AL38" s="34" t="e">
        <f t="shared" si="22"/>
        <v>#VALUE!</v>
      </c>
      <c r="AM38" s="34" t="e">
        <f t="shared" si="23"/>
        <v>#VALUE!</v>
      </c>
      <c r="AN38" s="34" t="e">
        <f t="shared" si="24"/>
        <v>#VALUE!</v>
      </c>
    </row>
    <row r="39" spans="5:40" x14ac:dyDescent="0.25">
      <c r="E39" s="25">
        <f t="shared" si="11"/>
        <v>36</v>
      </c>
      <c r="F39" s="26" t="str">
        <f t="shared" si="12"/>
        <v/>
      </c>
      <c r="G39" s="27" t="str">
        <f t="shared" si="13"/>
        <v/>
      </c>
      <c r="H39" s="28" t="str">
        <f t="shared" si="0"/>
        <v/>
      </c>
      <c r="I39" s="3" t="str">
        <f t="shared" si="14"/>
        <v/>
      </c>
      <c r="J39" s="3" t="str">
        <f t="shared" si="1"/>
        <v xml:space="preserve"> </v>
      </c>
      <c r="K39" s="3" t="str">
        <f t="shared" si="15"/>
        <v/>
      </c>
      <c r="L39" s="30" t="str">
        <f t="shared" si="2"/>
        <v/>
      </c>
      <c r="M39" s="29" t="str">
        <f t="shared" si="16"/>
        <v/>
      </c>
      <c r="N39" s="29" t="str">
        <f t="shared" si="17"/>
        <v/>
      </c>
      <c r="O39" s="29" t="str">
        <f t="shared" si="3"/>
        <v/>
      </c>
      <c r="P39" s="29" t="str">
        <f t="shared" si="4"/>
        <v/>
      </c>
      <c r="Q39" s="29" t="str">
        <f t="shared" si="5"/>
        <v/>
      </c>
      <c r="R39" s="23" t="str">
        <f t="shared" si="6"/>
        <v/>
      </c>
      <c r="S39" s="5" t="str">
        <f t="shared" si="18"/>
        <v/>
      </c>
      <c r="T39" s="5" t="str">
        <f t="shared" si="19"/>
        <v/>
      </c>
      <c r="U39" s="5" t="str">
        <f t="shared" si="20"/>
        <v/>
      </c>
      <c r="V39" s="4" t="str">
        <f t="shared" si="25"/>
        <v/>
      </c>
      <c r="W39" s="6" t="str">
        <f t="shared" si="8"/>
        <v/>
      </c>
      <c r="X39" s="22" t="str">
        <f t="shared" si="9"/>
        <v/>
      </c>
      <c r="Y39" s="22" t="str">
        <f t="shared" si="10"/>
        <v/>
      </c>
      <c r="Z39" s="22"/>
      <c r="AA39" s="1">
        <v>36</v>
      </c>
      <c r="AB39" s="1">
        <v>1</v>
      </c>
      <c r="AC39" s="1" t="s">
        <v>38</v>
      </c>
      <c r="AD39" s="2">
        <v>44853</v>
      </c>
      <c r="AE39" s="2">
        <v>43780</v>
      </c>
      <c r="AF39" s="36">
        <v>379.16</v>
      </c>
      <c r="AG39" s="36">
        <v>253.07</v>
      </c>
      <c r="AH39" s="36">
        <v>126.09</v>
      </c>
      <c r="AI39" s="36">
        <v>15.41</v>
      </c>
      <c r="AK39" s="34" t="e">
        <f t="shared" si="21"/>
        <v>#VALUE!</v>
      </c>
      <c r="AL39" s="34" t="e">
        <f t="shared" si="22"/>
        <v>#VALUE!</v>
      </c>
      <c r="AM39" s="34" t="e">
        <f t="shared" si="23"/>
        <v>#VALUE!</v>
      </c>
      <c r="AN39" s="34" t="e">
        <f t="shared" si="24"/>
        <v>#VALUE!</v>
      </c>
    </row>
    <row r="40" spans="5:40" x14ac:dyDescent="0.25">
      <c r="E40" s="25">
        <f t="shared" si="11"/>
        <v>37</v>
      </c>
      <c r="F40" s="26" t="str">
        <f t="shared" si="12"/>
        <v/>
      </c>
      <c r="G40" s="27" t="str">
        <f t="shared" si="13"/>
        <v/>
      </c>
      <c r="H40" s="28" t="str">
        <f t="shared" si="0"/>
        <v/>
      </c>
      <c r="I40" s="3" t="str">
        <f t="shared" si="14"/>
        <v/>
      </c>
      <c r="J40" s="3" t="str">
        <f t="shared" si="1"/>
        <v xml:space="preserve"> </v>
      </c>
      <c r="K40" s="3" t="str">
        <f t="shared" si="15"/>
        <v/>
      </c>
      <c r="L40" s="30" t="str">
        <f t="shared" si="2"/>
        <v/>
      </c>
      <c r="M40" s="29" t="str">
        <f t="shared" si="16"/>
        <v/>
      </c>
      <c r="N40" s="29" t="str">
        <f t="shared" si="17"/>
        <v/>
      </c>
      <c r="O40" s="29" t="str">
        <f t="shared" si="3"/>
        <v/>
      </c>
      <c r="P40" s="29" t="str">
        <f t="shared" si="4"/>
        <v/>
      </c>
      <c r="Q40" s="29" t="str">
        <f t="shared" si="5"/>
        <v/>
      </c>
      <c r="R40" s="23" t="str">
        <f t="shared" si="6"/>
        <v/>
      </c>
      <c r="S40" s="5" t="str">
        <f t="shared" si="18"/>
        <v/>
      </c>
      <c r="T40" s="5" t="str">
        <f t="shared" si="19"/>
        <v/>
      </c>
      <c r="U40" s="5" t="str">
        <f t="shared" si="20"/>
        <v/>
      </c>
      <c r="V40" s="4" t="str">
        <f t="shared" si="25"/>
        <v/>
      </c>
      <c r="W40" s="6" t="str">
        <f t="shared" si="8"/>
        <v/>
      </c>
      <c r="X40" s="22" t="str">
        <f t="shared" si="9"/>
        <v/>
      </c>
      <c r="Y40" s="22" t="str">
        <f t="shared" si="10"/>
        <v/>
      </c>
      <c r="Z40" s="22"/>
      <c r="AA40" s="1">
        <v>37</v>
      </c>
      <c r="AB40" s="1">
        <v>1</v>
      </c>
      <c r="AC40" s="1" t="s">
        <v>38</v>
      </c>
      <c r="AD40" s="2">
        <v>44884</v>
      </c>
      <c r="AE40" s="2">
        <v>43780</v>
      </c>
      <c r="AF40" s="36">
        <v>379.16</v>
      </c>
      <c r="AG40" s="36">
        <v>253.14</v>
      </c>
      <c r="AH40" s="36">
        <v>126.02</v>
      </c>
      <c r="AI40" s="36">
        <v>14.91</v>
      </c>
      <c r="AK40" s="34" t="e">
        <f t="shared" si="21"/>
        <v>#VALUE!</v>
      </c>
      <c r="AL40" s="34" t="e">
        <f t="shared" si="22"/>
        <v>#VALUE!</v>
      </c>
      <c r="AM40" s="34" t="e">
        <f t="shared" si="23"/>
        <v>#VALUE!</v>
      </c>
      <c r="AN40" s="34" t="e">
        <f t="shared" si="24"/>
        <v>#VALUE!</v>
      </c>
    </row>
    <row r="41" spans="5:40" x14ac:dyDescent="0.25">
      <c r="E41" s="25">
        <f t="shared" si="11"/>
        <v>38</v>
      </c>
      <c r="F41" s="26" t="str">
        <f t="shared" si="12"/>
        <v/>
      </c>
      <c r="G41" s="27" t="str">
        <f t="shared" si="13"/>
        <v/>
      </c>
      <c r="H41" s="28" t="str">
        <f t="shared" si="0"/>
        <v/>
      </c>
      <c r="I41" s="3" t="str">
        <f t="shared" si="14"/>
        <v/>
      </c>
      <c r="J41" s="3" t="str">
        <f t="shared" si="1"/>
        <v xml:space="preserve"> </v>
      </c>
      <c r="K41" s="3" t="str">
        <f t="shared" si="15"/>
        <v/>
      </c>
      <c r="L41" s="30" t="str">
        <f t="shared" si="2"/>
        <v/>
      </c>
      <c r="M41" s="29" t="str">
        <f t="shared" si="16"/>
        <v/>
      </c>
      <c r="N41" s="29" t="str">
        <f t="shared" si="17"/>
        <v/>
      </c>
      <c r="O41" s="29" t="str">
        <f t="shared" si="3"/>
        <v/>
      </c>
      <c r="P41" s="29" t="str">
        <f t="shared" si="4"/>
        <v/>
      </c>
      <c r="Q41" s="29" t="str">
        <f t="shared" si="5"/>
        <v/>
      </c>
      <c r="R41" s="23" t="str">
        <f t="shared" si="6"/>
        <v/>
      </c>
      <c r="S41" s="5" t="str">
        <f t="shared" si="18"/>
        <v/>
      </c>
      <c r="T41" s="5" t="str">
        <f t="shared" si="19"/>
        <v/>
      </c>
      <c r="U41" s="5" t="str">
        <f t="shared" si="20"/>
        <v/>
      </c>
      <c r="V41" s="4" t="str">
        <f t="shared" si="25"/>
        <v/>
      </c>
      <c r="W41" s="6" t="str">
        <f t="shared" si="8"/>
        <v/>
      </c>
      <c r="X41" s="22" t="str">
        <f t="shared" si="9"/>
        <v/>
      </c>
      <c r="Y41" s="22" t="str">
        <f t="shared" si="10"/>
        <v/>
      </c>
      <c r="Z41" s="22"/>
      <c r="AA41" s="1">
        <v>38</v>
      </c>
      <c r="AB41" s="1">
        <v>1</v>
      </c>
      <c r="AC41" s="1" t="s">
        <v>38</v>
      </c>
      <c r="AD41" s="2">
        <v>44914</v>
      </c>
      <c r="AE41" s="2">
        <v>43780</v>
      </c>
      <c r="AF41" s="36">
        <v>379.16</v>
      </c>
      <c r="AG41" s="36">
        <v>261.35000000000002</v>
      </c>
      <c r="AH41" s="36">
        <v>117.81</v>
      </c>
      <c r="AI41" s="36">
        <v>14.4</v>
      </c>
      <c r="AK41" s="34" t="e">
        <f t="shared" si="21"/>
        <v>#VALUE!</v>
      </c>
      <c r="AL41" s="34" t="e">
        <f t="shared" si="22"/>
        <v>#VALUE!</v>
      </c>
      <c r="AM41" s="34" t="e">
        <f t="shared" si="23"/>
        <v>#VALUE!</v>
      </c>
      <c r="AN41" s="34" t="e">
        <f t="shared" si="24"/>
        <v>#VALUE!</v>
      </c>
    </row>
    <row r="42" spans="5:40" x14ac:dyDescent="0.25">
      <c r="E42" s="25">
        <f t="shared" si="11"/>
        <v>39</v>
      </c>
      <c r="F42" s="26" t="str">
        <f t="shared" si="12"/>
        <v/>
      </c>
      <c r="G42" s="27" t="str">
        <f t="shared" si="13"/>
        <v/>
      </c>
      <c r="H42" s="28" t="str">
        <f t="shared" si="0"/>
        <v/>
      </c>
      <c r="I42" s="3" t="str">
        <f t="shared" si="14"/>
        <v/>
      </c>
      <c r="J42" s="3" t="str">
        <f t="shared" si="1"/>
        <v xml:space="preserve"> </v>
      </c>
      <c r="K42" s="3" t="str">
        <f t="shared" si="15"/>
        <v/>
      </c>
      <c r="L42" s="30" t="str">
        <f t="shared" si="2"/>
        <v/>
      </c>
      <c r="M42" s="29" t="str">
        <f t="shared" si="16"/>
        <v/>
      </c>
      <c r="N42" s="29" t="str">
        <f t="shared" si="17"/>
        <v/>
      </c>
      <c r="O42" s="29" t="str">
        <f t="shared" si="3"/>
        <v/>
      </c>
      <c r="P42" s="29" t="str">
        <f t="shared" si="4"/>
        <v/>
      </c>
      <c r="Q42" s="29" t="str">
        <f t="shared" si="5"/>
        <v/>
      </c>
      <c r="R42" s="23" t="str">
        <f t="shared" si="6"/>
        <v/>
      </c>
      <c r="S42" s="5" t="str">
        <f t="shared" si="18"/>
        <v/>
      </c>
      <c r="T42" s="5" t="str">
        <f t="shared" si="19"/>
        <v/>
      </c>
      <c r="U42" s="5" t="str">
        <f t="shared" si="20"/>
        <v/>
      </c>
      <c r="V42" s="4" t="str">
        <f t="shared" si="25"/>
        <v/>
      </c>
      <c r="W42" s="6" t="str">
        <f t="shared" si="8"/>
        <v/>
      </c>
      <c r="X42" s="22" t="str">
        <f t="shared" si="9"/>
        <v/>
      </c>
      <c r="Y42" s="22" t="str">
        <f t="shared" si="10"/>
        <v/>
      </c>
      <c r="Z42" s="22"/>
      <c r="AA42" s="1">
        <v>39</v>
      </c>
      <c r="AB42" s="1">
        <v>1</v>
      </c>
      <c r="AC42" s="1" t="s">
        <v>38</v>
      </c>
      <c r="AD42" s="2">
        <v>44945</v>
      </c>
      <c r="AE42" s="2">
        <v>43780</v>
      </c>
      <c r="AF42" s="36">
        <v>379.16</v>
      </c>
      <c r="AG42" s="36">
        <v>261.83999999999997</v>
      </c>
      <c r="AH42" s="36">
        <v>117.32</v>
      </c>
      <c r="AI42" s="36">
        <v>13.88</v>
      </c>
      <c r="AK42" s="34" t="e">
        <f t="shared" si="21"/>
        <v>#VALUE!</v>
      </c>
      <c r="AL42" s="34" t="e">
        <f t="shared" si="22"/>
        <v>#VALUE!</v>
      </c>
      <c r="AM42" s="34" t="e">
        <f t="shared" si="23"/>
        <v>#VALUE!</v>
      </c>
      <c r="AN42" s="34" t="e">
        <f t="shared" si="24"/>
        <v>#VALUE!</v>
      </c>
    </row>
    <row r="43" spans="5:40" x14ac:dyDescent="0.25">
      <c r="E43" s="25">
        <f t="shared" si="11"/>
        <v>40</v>
      </c>
      <c r="F43" s="26" t="str">
        <f t="shared" si="12"/>
        <v/>
      </c>
      <c r="G43" s="27" t="str">
        <f t="shared" si="13"/>
        <v/>
      </c>
      <c r="H43" s="28" t="str">
        <f t="shared" si="0"/>
        <v/>
      </c>
      <c r="I43" s="3" t="str">
        <f t="shared" si="14"/>
        <v/>
      </c>
      <c r="J43" s="3" t="str">
        <f t="shared" si="1"/>
        <v xml:space="preserve"> </v>
      </c>
      <c r="K43" s="3" t="str">
        <f t="shared" si="15"/>
        <v/>
      </c>
      <c r="L43" s="30" t="str">
        <f t="shared" si="2"/>
        <v/>
      </c>
      <c r="M43" s="29" t="str">
        <f t="shared" si="16"/>
        <v/>
      </c>
      <c r="N43" s="29" t="str">
        <f t="shared" si="17"/>
        <v/>
      </c>
      <c r="O43" s="29" t="str">
        <f t="shared" si="3"/>
        <v/>
      </c>
      <c r="P43" s="29" t="str">
        <f t="shared" si="4"/>
        <v/>
      </c>
      <c r="Q43" s="29" t="str">
        <f t="shared" si="5"/>
        <v/>
      </c>
      <c r="R43" s="23" t="str">
        <f t="shared" si="6"/>
        <v/>
      </c>
      <c r="S43" s="5" t="str">
        <f t="shared" si="18"/>
        <v/>
      </c>
      <c r="T43" s="5" t="str">
        <f t="shared" si="19"/>
        <v/>
      </c>
      <c r="U43" s="5" t="str">
        <f t="shared" si="20"/>
        <v/>
      </c>
      <c r="V43" s="4" t="str">
        <f t="shared" si="25"/>
        <v/>
      </c>
      <c r="W43" s="6" t="str">
        <f t="shared" si="8"/>
        <v/>
      </c>
      <c r="X43" s="22" t="str">
        <f t="shared" si="9"/>
        <v/>
      </c>
      <c r="Y43" s="22" t="str">
        <f t="shared" si="10"/>
        <v/>
      </c>
      <c r="Z43" s="22"/>
      <c r="AA43" s="1">
        <v>40</v>
      </c>
      <c r="AB43" s="1">
        <v>1</v>
      </c>
      <c r="AC43" s="1" t="s">
        <v>38</v>
      </c>
      <c r="AD43" s="2">
        <v>44976</v>
      </c>
      <c r="AE43" s="2">
        <v>43780</v>
      </c>
      <c r="AF43" s="36">
        <v>379.16</v>
      </c>
      <c r="AG43" s="36">
        <v>266.26</v>
      </c>
      <c r="AH43" s="36">
        <v>112.9</v>
      </c>
      <c r="AI43" s="36">
        <v>13.36</v>
      </c>
      <c r="AK43" s="34" t="e">
        <f t="shared" si="21"/>
        <v>#VALUE!</v>
      </c>
      <c r="AL43" s="34" t="e">
        <f t="shared" si="22"/>
        <v>#VALUE!</v>
      </c>
      <c r="AM43" s="34" t="e">
        <f t="shared" si="23"/>
        <v>#VALUE!</v>
      </c>
      <c r="AN43" s="34" t="e">
        <f t="shared" si="24"/>
        <v>#VALUE!</v>
      </c>
    </row>
    <row r="44" spans="5:40" x14ac:dyDescent="0.25">
      <c r="E44" s="25">
        <f t="shared" si="11"/>
        <v>41</v>
      </c>
      <c r="F44" s="26" t="str">
        <f t="shared" si="12"/>
        <v/>
      </c>
      <c r="G44" s="27" t="str">
        <f t="shared" si="13"/>
        <v/>
      </c>
      <c r="H44" s="28" t="str">
        <f t="shared" si="0"/>
        <v/>
      </c>
      <c r="I44" s="3" t="str">
        <f t="shared" si="14"/>
        <v/>
      </c>
      <c r="J44" s="3" t="str">
        <f t="shared" si="1"/>
        <v xml:space="preserve"> </v>
      </c>
      <c r="K44" s="3" t="str">
        <f t="shared" si="15"/>
        <v/>
      </c>
      <c r="L44" s="30" t="str">
        <f t="shared" si="2"/>
        <v/>
      </c>
      <c r="M44" s="29" t="str">
        <f t="shared" si="16"/>
        <v/>
      </c>
      <c r="N44" s="29" t="str">
        <f t="shared" si="17"/>
        <v/>
      </c>
      <c r="O44" s="29" t="str">
        <f t="shared" si="3"/>
        <v/>
      </c>
      <c r="P44" s="29" t="str">
        <f t="shared" si="4"/>
        <v/>
      </c>
      <c r="Q44" s="29" t="str">
        <f t="shared" si="5"/>
        <v/>
      </c>
      <c r="R44" s="23" t="str">
        <f t="shared" si="6"/>
        <v/>
      </c>
      <c r="S44" s="5" t="str">
        <f t="shared" si="18"/>
        <v/>
      </c>
      <c r="T44" s="5" t="str">
        <f t="shared" si="19"/>
        <v/>
      </c>
      <c r="U44" s="5" t="str">
        <f t="shared" si="20"/>
        <v/>
      </c>
      <c r="V44" s="4" t="str">
        <f t="shared" si="25"/>
        <v/>
      </c>
      <c r="W44" s="6" t="str">
        <f t="shared" si="8"/>
        <v/>
      </c>
      <c r="X44" s="22" t="str">
        <f t="shared" si="9"/>
        <v/>
      </c>
      <c r="Y44" s="22" t="str">
        <f t="shared" si="10"/>
        <v/>
      </c>
      <c r="Z44" s="22"/>
      <c r="AA44" s="1">
        <v>41</v>
      </c>
      <c r="AB44" s="1">
        <v>1</v>
      </c>
      <c r="AC44" s="1" t="s">
        <v>38</v>
      </c>
      <c r="AD44" s="2">
        <v>45004</v>
      </c>
      <c r="AE44" s="2">
        <v>43780</v>
      </c>
      <c r="AF44" s="36">
        <v>379.16</v>
      </c>
      <c r="AG44" s="36">
        <v>281.25</v>
      </c>
      <c r="AH44" s="36">
        <v>97.91</v>
      </c>
      <c r="AI44" s="36">
        <v>12.82</v>
      </c>
      <c r="AK44" s="34" t="e">
        <f t="shared" si="21"/>
        <v>#VALUE!</v>
      </c>
      <c r="AL44" s="34" t="e">
        <f t="shared" si="22"/>
        <v>#VALUE!</v>
      </c>
      <c r="AM44" s="34" t="e">
        <f t="shared" si="23"/>
        <v>#VALUE!</v>
      </c>
      <c r="AN44" s="34" t="e">
        <f t="shared" si="24"/>
        <v>#VALUE!</v>
      </c>
    </row>
    <row r="45" spans="5:40" x14ac:dyDescent="0.25">
      <c r="E45" s="25">
        <f t="shared" si="11"/>
        <v>42</v>
      </c>
      <c r="F45" s="26" t="str">
        <f t="shared" si="12"/>
        <v/>
      </c>
      <c r="G45" s="27" t="str">
        <f t="shared" si="13"/>
        <v/>
      </c>
      <c r="H45" s="28" t="str">
        <f t="shared" si="0"/>
        <v/>
      </c>
      <c r="I45" s="3" t="str">
        <f t="shared" si="14"/>
        <v/>
      </c>
      <c r="J45" s="3" t="str">
        <f t="shared" si="1"/>
        <v xml:space="preserve"> </v>
      </c>
      <c r="K45" s="3" t="str">
        <f t="shared" si="15"/>
        <v/>
      </c>
      <c r="L45" s="30" t="str">
        <f t="shared" si="2"/>
        <v/>
      </c>
      <c r="M45" s="29" t="str">
        <f t="shared" si="16"/>
        <v/>
      </c>
      <c r="N45" s="29" t="str">
        <f t="shared" si="17"/>
        <v/>
      </c>
      <c r="O45" s="29" t="str">
        <f t="shared" si="3"/>
        <v/>
      </c>
      <c r="P45" s="29" t="str">
        <f t="shared" si="4"/>
        <v/>
      </c>
      <c r="Q45" s="29" t="str">
        <f t="shared" si="5"/>
        <v/>
      </c>
      <c r="R45" s="23" t="str">
        <f t="shared" si="6"/>
        <v/>
      </c>
      <c r="S45" s="5" t="str">
        <f t="shared" si="18"/>
        <v/>
      </c>
      <c r="T45" s="5" t="str">
        <f t="shared" si="19"/>
        <v/>
      </c>
      <c r="U45" s="5" t="str">
        <f t="shared" si="20"/>
        <v/>
      </c>
      <c r="V45" s="4" t="str">
        <f t="shared" si="25"/>
        <v/>
      </c>
      <c r="W45" s="6" t="str">
        <f t="shared" si="8"/>
        <v/>
      </c>
      <c r="X45" s="22" t="str">
        <f t="shared" si="9"/>
        <v/>
      </c>
      <c r="Y45" s="22" t="str">
        <f t="shared" si="10"/>
        <v/>
      </c>
      <c r="Z45" s="22"/>
      <c r="AA45" s="1">
        <v>42</v>
      </c>
      <c r="AB45" s="1">
        <v>1</v>
      </c>
      <c r="AC45" s="1" t="s">
        <v>38</v>
      </c>
      <c r="AD45" s="2">
        <v>45035</v>
      </c>
      <c r="AE45" s="2">
        <v>43780</v>
      </c>
      <c r="AF45" s="36">
        <v>379.16</v>
      </c>
      <c r="AG45" s="36">
        <v>275.51</v>
      </c>
      <c r="AH45" s="36">
        <v>103.65</v>
      </c>
      <c r="AI45" s="36">
        <v>12.26</v>
      </c>
      <c r="AK45" s="34" t="e">
        <f t="shared" si="21"/>
        <v>#VALUE!</v>
      </c>
      <c r="AL45" s="34" t="e">
        <f t="shared" si="22"/>
        <v>#VALUE!</v>
      </c>
      <c r="AM45" s="34" t="e">
        <f t="shared" si="23"/>
        <v>#VALUE!</v>
      </c>
      <c r="AN45" s="34" t="e">
        <f t="shared" si="24"/>
        <v>#VALUE!</v>
      </c>
    </row>
    <row r="46" spans="5:40" x14ac:dyDescent="0.25">
      <c r="E46" s="25">
        <f t="shared" si="11"/>
        <v>43</v>
      </c>
      <c r="F46" s="26" t="str">
        <f t="shared" si="12"/>
        <v/>
      </c>
      <c r="G46" s="27" t="str">
        <f t="shared" si="13"/>
        <v/>
      </c>
      <c r="H46" s="28" t="str">
        <f t="shared" si="0"/>
        <v/>
      </c>
      <c r="I46" s="3" t="str">
        <f t="shared" si="14"/>
        <v/>
      </c>
      <c r="J46" s="3" t="str">
        <f t="shared" si="1"/>
        <v xml:space="preserve"> </v>
      </c>
      <c r="K46" s="3" t="str">
        <f t="shared" si="15"/>
        <v/>
      </c>
      <c r="L46" s="30" t="str">
        <f t="shared" si="2"/>
        <v/>
      </c>
      <c r="M46" s="29" t="str">
        <f t="shared" si="16"/>
        <v/>
      </c>
      <c r="N46" s="29" t="str">
        <f t="shared" si="17"/>
        <v/>
      </c>
      <c r="O46" s="29" t="str">
        <f t="shared" si="3"/>
        <v/>
      </c>
      <c r="P46" s="29" t="str">
        <f t="shared" si="4"/>
        <v/>
      </c>
      <c r="Q46" s="29" t="str">
        <f t="shared" si="5"/>
        <v/>
      </c>
      <c r="R46" s="23" t="str">
        <f t="shared" si="6"/>
        <v/>
      </c>
      <c r="S46" s="5" t="str">
        <f t="shared" si="18"/>
        <v/>
      </c>
      <c r="T46" s="5" t="str">
        <f t="shared" si="19"/>
        <v/>
      </c>
      <c r="U46" s="5" t="str">
        <f t="shared" si="20"/>
        <v/>
      </c>
      <c r="V46" s="4" t="str">
        <f t="shared" si="25"/>
        <v/>
      </c>
      <c r="W46" s="6" t="str">
        <f t="shared" si="8"/>
        <v/>
      </c>
      <c r="X46" s="22" t="str">
        <f t="shared" si="9"/>
        <v/>
      </c>
      <c r="Y46" s="22" t="str">
        <f t="shared" si="10"/>
        <v/>
      </c>
      <c r="Z46" s="22"/>
      <c r="AA46" s="1">
        <v>43</v>
      </c>
      <c r="AB46" s="1">
        <v>1</v>
      </c>
      <c r="AC46" s="1" t="s">
        <v>38</v>
      </c>
      <c r="AD46" s="2">
        <v>45065</v>
      </c>
      <c r="AE46" s="2">
        <v>43780</v>
      </c>
      <c r="AF46" s="36">
        <v>379.16</v>
      </c>
      <c r="AG46" s="36">
        <v>283.36</v>
      </c>
      <c r="AH46" s="36">
        <v>95.8</v>
      </c>
      <c r="AI46" s="36">
        <v>11.71</v>
      </c>
      <c r="AK46" s="34" t="e">
        <f t="shared" si="21"/>
        <v>#VALUE!</v>
      </c>
      <c r="AL46" s="34" t="e">
        <f t="shared" si="22"/>
        <v>#VALUE!</v>
      </c>
      <c r="AM46" s="34" t="e">
        <f t="shared" si="23"/>
        <v>#VALUE!</v>
      </c>
      <c r="AN46" s="34" t="e">
        <f t="shared" si="24"/>
        <v>#VALUE!</v>
      </c>
    </row>
    <row r="47" spans="5:40" x14ac:dyDescent="0.25">
      <c r="E47" s="25">
        <f t="shared" si="11"/>
        <v>44</v>
      </c>
      <c r="F47" s="26" t="str">
        <f t="shared" si="12"/>
        <v/>
      </c>
      <c r="G47" s="27" t="str">
        <f t="shared" si="13"/>
        <v/>
      </c>
      <c r="H47" s="28" t="str">
        <f t="shared" si="0"/>
        <v/>
      </c>
      <c r="I47" s="3" t="str">
        <f t="shared" si="14"/>
        <v/>
      </c>
      <c r="J47" s="3" t="str">
        <f t="shared" si="1"/>
        <v xml:space="preserve"> </v>
      </c>
      <c r="K47" s="3" t="str">
        <f t="shared" si="15"/>
        <v/>
      </c>
      <c r="L47" s="30" t="str">
        <f t="shared" si="2"/>
        <v/>
      </c>
      <c r="M47" s="29" t="str">
        <f t="shared" si="16"/>
        <v/>
      </c>
      <c r="N47" s="29" t="str">
        <f t="shared" si="17"/>
        <v/>
      </c>
      <c r="O47" s="29" t="str">
        <f t="shared" si="3"/>
        <v/>
      </c>
      <c r="P47" s="29" t="str">
        <f t="shared" si="4"/>
        <v/>
      </c>
      <c r="Q47" s="29" t="str">
        <f t="shared" si="5"/>
        <v/>
      </c>
      <c r="R47" s="23" t="str">
        <f t="shared" si="6"/>
        <v/>
      </c>
      <c r="S47" s="5" t="str">
        <f t="shared" si="18"/>
        <v/>
      </c>
      <c r="T47" s="5" t="str">
        <f t="shared" si="19"/>
        <v/>
      </c>
      <c r="U47" s="5" t="str">
        <f t="shared" si="20"/>
        <v/>
      </c>
      <c r="V47" s="4" t="str">
        <f t="shared" si="25"/>
        <v/>
      </c>
      <c r="W47" s="6" t="str">
        <f t="shared" si="8"/>
        <v/>
      </c>
      <c r="X47" s="22" t="str">
        <f t="shared" si="9"/>
        <v/>
      </c>
      <c r="Y47" s="22" t="str">
        <f t="shared" si="10"/>
        <v/>
      </c>
      <c r="Z47" s="22"/>
      <c r="AA47" s="1">
        <v>44</v>
      </c>
      <c r="AB47" s="1">
        <v>1</v>
      </c>
      <c r="AC47" s="1" t="s">
        <v>38</v>
      </c>
      <c r="AD47" s="2">
        <v>45096</v>
      </c>
      <c r="AE47" s="2">
        <v>43780</v>
      </c>
      <c r="AF47" s="36">
        <v>379.16</v>
      </c>
      <c r="AG47" s="36">
        <v>284.95999999999998</v>
      </c>
      <c r="AH47" s="36">
        <v>94.2</v>
      </c>
      <c r="AI47" s="36">
        <v>11.14</v>
      </c>
      <c r="AK47" s="34" t="e">
        <f t="shared" si="21"/>
        <v>#VALUE!</v>
      </c>
      <c r="AL47" s="34" t="e">
        <f t="shared" si="22"/>
        <v>#VALUE!</v>
      </c>
      <c r="AM47" s="34" t="e">
        <f t="shared" si="23"/>
        <v>#VALUE!</v>
      </c>
      <c r="AN47" s="34" t="e">
        <f t="shared" si="24"/>
        <v>#VALUE!</v>
      </c>
    </row>
    <row r="48" spans="5:40" x14ac:dyDescent="0.25">
      <c r="E48" s="25">
        <f t="shared" si="11"/>
        <v>45</v>
      </c>
      <c r="F48" s="26" t="str">
        <f t="shared" si="12"/>
        <v/>
      </c>
      <c r="G48" s="27" t="str">
        <f t="shared" si="13"/>
        <v/>
      </c>
      <c r="H48" s="28" t="str">
        <f t="shared" si="0"/>
        <v/>
      </c>
      <c r="I48" s="3" t="str">
        <f t="shared" si="14"/>
        <v/>
      </c>
      <c r="J48" s="3" t="str">
        <f t="shared" si="1"/>
        <v xml:space="preserve"> </v>
      </c>
      <c r="K48" s="3" t="str">
        <f t="shared" si="15"/>
        <v/>
      </c>
      <c r="L48" s="30" t="str">
        <f t="shared" si="2"/>
        <v/>
      </c>
      <c r="M48" s="29" t="str">
        <f t="shared" si="16"/>
        <v/>
      </c>
      <c r="N48" s="29" t="str">
        <f t="shared" si="17"/>
        <v/>
      </c>
      <c r="O48" s="29" t="str">
        <f t="shared" si="3"/>
        <v/>
      </c>
      <c r="P48" s="29" t="str">
        <f t="shared" si="4"/>
        <v/>
      </c>
      <c r="Q48" s="29" t="str">
        <f t="shared" si="5"/>
        <v/>
      </c>
      <c r="R48" s="23" t="str">
        <f t="shared" si="6"/>
        <v/>
      </c>
      <c r="S48" s="5" t="str">
        <f t="shared" si="18"/>
        <v/>
      </c>
      <c r="T48" s="5" t="str">
        <f t="shared" si="19"/>
        <v/>
      </c>
      <c r="U48" s="5" t="str">
        <f t="shared" si="20"/>
        <v/>
      </c>
      <c r="V48" s="4" t="str">
        <f t="shared" si="25"/>
        <v/>
      </c>
      <c r="W48" s="6" t="str">
        <f t="shared" si="8"/>
        <v/>
      </c>
      <c r="X48" s="22" t="str">
        <f t="shared" si="9"/>
        <v/>
      </c>
      <c r="Y48" s="22" t="str">
        <f t="shared" si="10"/>
        <v/>
      </c>
      <c r="Z48" s="22"/>
      <c r="AA48" s="1">
        <v>45</v>
      </c>
      <c r="AB48" s="1">
        <v>1</v>
      </c>
      <c r="AC48" s="1" t="s">
        <v>38</v>
      </c>
      <c r="AD48" s="2">
        <v>45126</v>
      </c>
      <c r="AE48" s="2">
        <v>43780</v>
      </c>
      <c r="AF48" s="36">
        <v>379.16</v>
      </c>
      <c r="AG48" s="36">
        <v>292.66000000000003</v>
      </c>
      <c r="AH48" s="36">
        <v>86.5</v>
      </c>
      <c r="AI48" s="36">
        <v>10.57</v>
      </c>
      <c r="AK48" s="34" t="e">
        <f t="shared" si="21"/>
        <v>#VALUE!</v>
      </c>
      <c r="AL48" s="34" t="e">
        <f t="shared" si="22"/>
        <v>#VALUE!</v>
      </c>
      <c r="AM48" s="34" t="e">
        <f t="shared" si="23"/>
        <v>#VALUE!</v>
      </c>
      <c r="AN48" s="34" t="e">
        <f t="shared" si="24"/>
        <v>#VALUE!</v>
      </c>
    </row>
    <row r="49" spans="5:40" x14ac:dyDescent="0.25">
      <c r="E49" s="25">
        <f t="shared" si="11"/>
        <v>46</v>
      </c>
      <c r="F49" s="26" t="str">
        <f t="shared" si="12"/>
        <v/>
      </c>
      <c r="G49" s="27" t="str">
        <f t="shared" si="13"/>
        <v/>
      </c>
      <c r="H49" s="28" t="str">
        <f t="shared" si="0"/>
        <v/>
      </c>
      <c r="I49" s="3" t="str">
        <f t="shared" si="14"/>
        <v/>
      </c>
      <c r="J49" s="3" t="str">
        <f t="shared" si="1"/>
        <v xml:space="preserve"> </v>
      </c>
      <c r="K49" s="3" t="str">
        <f t="shared" si="15"/>
        <v/>
      </c>
      <c r="L49" s="30" t="str">
        <f t="shared" si="2"/>
        <v/>
      </c>
      <c r="M49" s="29" t="str">
        <f t="shared" si="16"/>
        <v/>
      </c>
      <c r="N49" s="29" t="str">
        <f t="shared" si="17"/>
        <v/>
      </c>
      <c r="O49" s="29" t="str">
        <f t="shared" si="3"/>
        <v/>
      </c>
      <c r="P49" s="29" t="str">
        <f t="shared" si="4"/>
        <v/>
      </c>
      <c r="Q49" s="29" t="str">
        <f t="shared" si="5"/>
        <v/>
      </c>
      <c r="R49" s="23" t="str">
        <f t="shared" si="6"/>
        <v/>
      </c>
      <c r="S49" s="5" t="str">
        <f t="shared" si="18"/>
        <v/>
      </c>
      <c r="T49" s="5" t="str">
        <f t="shared" si="19"/>
        <v/>
      </c>
      <c r="U49" s="5" t="str">
        <f t="shared" si="20"/>
        <v/>
      </c>
      <c r="V49" s="4" t="str">
        <f t="shared" si="25"/>
        <v/>
      </c>
      <c r="W49" s="6" t="str">
        <f t="shared" si="8"/>
        <v/>
      </c>
      <c r="X49" s="22" t="str">
        <f t="shared" si="9"/>
        <v/>
      </c>
      <c r="Y49" s="22" t="str">
        <f t="shared" si="10"/>
        <v/>
      </c>
      <c r="Z49" s="22"/>
      <c r="AA49" s="1">
        <v>46</v>
      </c>
      <c r="AB49" s="1">
        <v>1</v>
      </c>
      <c r="AC49" s="1" t="s">
        <v>38</v>
      </c>
      <c r="AD49" s="2">
        <v>45157</v>
      </c>
      <c r="AE49" s="2">
        <v>43780</v>
      </c>
      <c r="AF49" s="36">
        <v>379.16</v>
      </c>
      <c r="AG49" s="36">
        <v>294.72000000000003</v>
      </c>
      <c r="AH49" s="36">
        <v>84.44</v>
      </c>
      <c r="AI49" s="36">
        <v>9.99</v>
      </c>
      <c r="AK49" s="34" t="e">
        <f t="shared" si="21"/>
        <v>#VALUE!</v>
      </c>
      <c r="AL49" s="34" t="e">
        <f t="shared" si="22"/>
        <v>#VALUE!</v>
      </c>
      <c r="AM49" s="34" t="e">
        <f t="shared" si="23"/>
        <v>#VALUE!</v>
      </c>
      <c r="AN49" s="34" t="e">
        <f t="shared" si="24"/>
        <v>#VALUE!</v>
      </c>
    </row>
    <row r="50" spans="5:40" x14ac:dyDescent="0.25">
      <c r="E50" s="25">
        <f t="shared" si="11"/>
        <v>47</v>
      </c>
      <c r="F50" s="26" t="str">
        <f t="shared" si="12"/>
        <v/>
      </c>
      <c r="G50" s="27" t="str">
        <f t="shared" si="13"/>
        <v/>
      </c>
      <c r="H50" s="28" t="str">
        <f t="shared" si="0"/>
        <v/>
      </c>
      <c r="I50" s="3" t="str">
        <f t="shared" si="14"/>
        <v/>
      </c>
      <c r="J50" s="3" t="str">
        <f t="shared" si="1"/>
        <v xml:space="preserve"> </v>
      </c>
      <c r="K50" s="3" t="str">
        <f t="shared" si="15"/>
        <v/>
      </c>
      <c r="L50" s="30" t="str">
        <f t="shared" si="2"/>
        <v/>
      </c>
      <c r="M50" s="29" t="str">
        <f t="shared" si="16"/>
        <v/>
      </c>
      <c r="N50" s="29" t="str">
        <f t="shared" si="17"/>
        <v/>
      </c>
      <c r="O50" s="29" t="str">
        <f t="shared" si="3"/>
        <v/>
      </c>
      <c r="P50" s="29" t="str">
        <f t="shared" si="4"/>
        <v/>
      </c>
      <c r="Q50" s="29" t="str">
        <f t="shared" si="5"/>
        <v/>
      </c>
      <c r="R50" s="23" t="str">
        <f t="shared" si="6"/>
        <v/>
      </c>
      <c r="S50" s="5" t="str">
        <f t="shared" si="18"/>
        <v/>
      </c>
      <c r="T50" s="5" t="str">
        <f t="shared" si="19"/>
        <v/>
      </c>
      <c r="U50" s="5" t="str">
        <f t="shared" si="20"/>
        <v/>
      </c>
      <c r="V50" s="4" t="str">
        <f t="shared" si="25"/>
        <v/>
      </c>
      <c r="W50" s="6" t="str">
        <f t="shared" si="8"/>
        <v/>
      </c>
      <c r="X50" s="22" t="str">
        <f t="shared" si="9"/>
        <v/>
      </c>
      <c r="Y50" s="22" t="str">
        <f t="shared" si="10"/>
        <v/>
      </c>
      <c r="Z50" s="22"/>
      <c r="AA50" s="1">
        <v>47</v>
      </c>
      <c r="AB50" s="1">
        <v>1</v>
      </c>
      <c r="AC50" s="1" t="s">
        <v>38</v>
      </c>
      <c r="AD50" s="2">
        <v>45188</v>
      </c>
      <c r="AE50" s="2">
        <v>43780</v>
      </c>
      <c r="AF50" s="36">
        <v>379.16</v>
      </c>
      <c r="AG50" s="36">
        <v>299.7</v>
      </c>
      <c r="AH50" s="36">
        <v>79.459999999999994</v>
      </c>
      <c r="AI50" s="36">
        <v>9.4</v>
      </c>
      <c r="AK50" s="34" t="e">
        <f t="shared" si="21"/>
        <v>#VALUE!</v>
      </c>
      <c r="AL50" s="34" t="e">
        <f t="shared" si="22"/>
        <v>#VALUE!</v>
      </c>
      <c r="AM50" s="34" t="e">
        <f t="shared" si="23"/>
        <v>#VALUE!</v>
      </c>
      <c r="AN50" s="34" t="e">
        <f t="shared" si="24"/>
        <v>#VALUE!</v>
      </c>
    </row>
    <row r="51" spans="5:40" x14ac:dyDescent="0.25">
      <c r="E51" s="25">
        <f t="shared" si="11"/>
        <v>48</v>
      </c>
      <c r="F51" s="26" t="str">
        <f t="shared" si="12"/>
        <v/>
      </c>
      <c r="G51" s="27" t="str">
        <f t="shared" si="13"/>
        <v/>
      </c>
      <c r="H51" s="28" t="str">
        <f t="shared" si="0"/>
        <v/>
      </c>
      <c r="I51" s="3" t="str">
        <f t="shared" si="14"/>
        <v/>
      </c>
      <c r="J51" s="3" t="str">
        <f t="shared" si="1"/>
        <v xml:space="preserve"> </v>
      </c>
      <c r="K51" s="3" t="str">
        <f t="shared" si="15"/>
        <v/>
      </c>
      <c r="L51" s="30" t="str">
        <f t="shared" si="2"/>
        <v/>
      </c>
      <c r="M51" s="29" t="str">
        <f t="shared" si="16"/>
        <v/>
      </c>
      <c r="N51" s="29" t="str">
        <f t="shared" si="17"/>
        <v/>
      </c>
      <c r="O51" s="29" t="str">
        <f t="shared" si="3"/>
        <v/>
      </c>
      <c r="P51" s="29" t="str">
        <f t="shared" si="4"/>
        <v/>
      </c>
      <c r="Q51" s="29" t="str">
        <f t="shared" si="5"/>
        <v/>
      </c>
      <c r="R51" s="23" t="str">
        <f t="shared" si="6"/>
        <v/>
      </c>
      <c r="S51" s="5" t="str">
        <f t="shared" si="18"/>
        <v/>
      </c>
      <c r="T51" s="5" t="str">
        <f t="shared" si="19"/>
        <v/>
      </c>
      <c r="U51" s="5" t="str">
        <f t="shared" si="20"/>
        <v/>
      </c>
      <c r="V51" s="4" t="str">
        <f t="shared" si="25"/>
        <v/>
      </c>
      <c r="W51" s="6" t="str">
        <f t="shared" si="8"/>
        <v/>
      </c>
      <c r="X51" s="22" t="str">
        <f t="shared" si="9"/>
        <v/>
      </c>
      <c r="Y51" s="22" t="str">
        <f t="shared" si="10"/>
        <v/>
      </c>
      <c r="Z51" s="22"/>
      <c r="AA51" s="1">
        <v>48</v>
      </c>
      <c r="AB51" s="1">
        <v>1</v>
      </c>
      <c r="AC51" s="1" t="s">
        <v>38</v>
      </c>
      <c r="AD51" s="2">
        <v>45218</v>
      </c>
      <c r="AE51" s="2">
        <v>43780</v>
      </c>
      <c r="AF51" s="36">
        <v>379.16</v>
      </c>
      <c r="AG51" s="36">
        <v>307.17</v>
      </c>
      <c r="AH51" s="36">
        <v>71.989999999999995</v>
      </c>
      <c r="AI51" s="36">
        <v>8.8000000000000007</v>
      </c>
      <c r="AK51" s="34" t="e">
        <f t="shared" si="21"/>
        <v>#VALUE!</v>
      </c>
      <c r="AL51" s="34" t="e">
        <f t="shared" si="22"/>
        <v>#VALUE!</v>
      </c>
      <c r="AM51" s="34" t="e">
        <f t="shared" si="23"/>
        <v>#VALUE!</v>
      </c>
      <c r="AN51" s="34" t="e">
        <f t="shared" si="24"/>
        <v>#VALUE!</v>
      </c>
    </row>
    <row r="52" spans="5:40" x14ac:dyDescent="0.25">
      <c r="E52" s="25">
        <f t="shared" si="11"/>
        <v>49</v>
      </c>
      <c r="F52" s="26" t="str">
        <f t="shared" si="12"/>
        <v/>
      </c>
      <c r="G52" s="27" t="str">
        <f t="shared" si="13"/>
        <v/>
      </c>
      <c r="H52" s="28" t="str">
        <f t="shared" si="0"/>
        <v/>
      </c>
      <c r="I52" s="3" t="str">
        <f t="shared" si="14"/>
        <v/>
      </c>
      <c r="J52" s="3" t="str">
        <f t="shared" si="1"/>
        <v xml:space="preserve"> </v>
      </c>
      <c r="K52" s="3" t="str">
        <f t="shared" si="15"/>
        <v/>
      </c>
      <c r="L52" s="30" t="str">
        <f t="shared" si="2"/>
        <v/>
      </c>
      <c r="M52" s="29" t="str">
        <f t="shared" si="16"/>
        <v/>
      </c>
      <c r="N52" s="29" t="str">
        <f t="shared" si="17"/>
        <v/>
      </c>
      <c r="O52" s="29" t="str">
        <f t="shared" si="3"/>
        <v/>
      </c>
      <c r="P52" s="29" t="str">
        <f t="shared" si="4"/>
        <v/>
      </c>
      <c r="Q52" s="29" t="str">
        <f t="shared" si="5"/>
        <v/>
      </c>
      <c r="R52" s="23" t="str">
        <f t="shared" si="6"/>
        <v/>
      </c>
      <c r="S52" s="5" t="str">
        <f t="shared" si="18"/>
        <v/>
      </c>
      <c r="T52" s="5" t="str">
        <f t="shared" si="19"/>
        <v/>
      </c>
      <c r="U52" s="5" t="str">
        <f t="shared" si="20"/>
        <v/>
      </c>
      <c r="V52" s="4" t="str">
        <f t="shared" si="25"/>
        <v/>
      </c>
      <c r="W52" s="6" t="str">
        <f t="shared" si="8"/>
        <v/>
      </c>
      <c r="X52" s="22" t="str">
        <f t="shared" si="9"/>
        <v/>
      </c>
      <c r="Y52" s="22" t="str">
        <f t="shared" si="10"/>
        <v/>
      </c>
      <c r="Z52" s="22"/>
      <c r="AA52" s="1">
        <v>49</v>
      </c>
      <c r="AB52" s="1">
        <v>1</v>
      </c>
      <c r="AC52" s="1" t="s">
        <v>38</v>
      </c>
      <c r="AD52" s="2">
        <v>45249</v>
      </c>
      <c r="AE52" s="2">
        <v>43780</v>
      </c>
      <c r="AF52" s="36">
        <v>379.16</v>
      </c>
      <c r="AG52" s="36">
        <v>309.95999999999998</v>
      </c>
      <c r="AH52" s="36">
        <v>69.2</v>
      </c>
      <c r="AI52" s="36">
        <v>8.18</v>
      </c>
      <c r="AK52" s="34" t="e">
        <f t="shared" si="21"/>
        <v>#VALUE!</v>
      </c>
      <c r="AL52" s="34" t="e">
        <f t="shared" si="22"/>
        <v>#VALUE!</v>
      </c>
      <c r="AM52" s="34" t="e">
        <f t="shared" si="23"/>
        <v>#VALUE!</v>
      </c>
      <c r="AN52" s="34" t="e">
        <f t="shared" si="24"/>
        <v>#VALUE!</v>
      </c>
    </row>
    <row r="53" spans="5:40" x14ac:dyDescent="0.25">
      <c r="E53" s="25">
        <f t="shared" si="11"/>
        <v>50</v>
      </c>
      <c r="F53" s="26" t="str">
        <f t="shared" si="12"/>
        <v/>
      </c>
      <c r="G53" s="27" t="str">
        <f t="shared" si="13"/>
        <v/>
      </c>
      <c r="H53" s="28" t="str">
        <f t="shared" si="0"/>
        <v/>
      </c>
      <c r="I53" s="3" t="str">
        <f t="shared" si="14"/>
        <v/>
      </c>
      <c r="J53" s="3" t="str">
        <f t="shared" si="1"/>
        <v xml:space="preserve"> </v>
      </c>
      <c r="K53" s="3" t="str">
        <f t="shared" si="15"/>
        <v/>
      </c>
      <c r="L53" s="30" t="str">
        <f t="shared" si="2"/>
        <v/>
      </c>
      <c r="M53" s="29" t="str">
        <f t="shared" si="16"/>
        <v/>
      </c>
      <c r="N53" s="29" t="str">
        <f t="shared" si="17"/>
        <v/>
      </c>
      <c r="O53" s="29" t="str">
        <f t="shared" si="3"/>
        <v/>
      </c>
      <c r="P53" s="29" t="str">
        <f t="shared" si="4"/>
        <v/>
      </c>
      <c r="Q53" s="29" t="str">
        <f t="shared" si="5"/>
        <v/>
      </c>
      <c r="R53" s="23" t="str">
        <f t="shared" si="6"/>
        <v/>
      </c>
      <c r="S53" s="5" t="str">
        <f t="shared" si="18"/>
        <v/>
      </c>
      <c r="T53" s="5" t="str">
        <f t="shared" si="19"/>
        <v/>
      </c>
      <c r="U53" s="5" t="str">
        <f t="shared" si="20"/>
        <v/>
      </c>
      <c r="V53" s="4" t="str">
        <f t="shared" si="25"/>
        <v/>
      </c>
      <c r="W53" s="6" t="str">
        <f t="shared" si="8"/>
        <v/>
      </c>
      <c r="X53" s="22" t="str">
        <f t="shared" si="9"/>
        <v/>
      </c>
      <c r="Y53" s="22" t="str">
        <f t="shared" si="10"/>
        <v/>
      </c>
      <c r="Z53" s="22"/>
      <c r="AA53" s="1">
        <v>50</v>
      </c>
      <c r="AB53" s="1">
        <v>1</v>
      </c>
      <c r="AC53" s="1" t="s">
        <v>38</v>
      </c>
      <c r="AD53" s="2">
        <v>45279</v>
      </c>
      <c r="AE53" s="2">
        <v>43780</v>
      </c>
      <c r="AF53" s="36">
        <v>379.16</v>
      </c>
      <c r="AG53" s="36">
        <v>317.26</v>
      </c>
      <c r="AH53" s="36">
        <v>61.9</v>
      </c>
      <c r="AI53" s="36">
        <v>7.56</v>
      </c>
      <c r="AK53" s="34" t="e">
        <f t="shared" si="21"/>
        <v>#VALUE!</v>
      </c>
      <c r="AL53" s="34" t="e">
        <f t="shared" si="22"/>
        <v>#VALUE!</v>
      </c>
      <c r="AM53" s="34" t="e">
        <f t="shared" si="23"/>
        <v>#VALUE!</v>
      </c>
      <c r="AN53" s="34" t="e">
        <f t="shared" si="24"/>
        <v>#VALUE!</v>
      </c>
    </row>
    <row r="54" spans="5:40" x14ac:dyDescent="0.25">
      <c r="E54" s="25">
        <f t="shared" si="11"/>
        <v>51</v>
      </c>
      <c r="F54" s="26" t="str">
        <f t="shared" si="12"/>
        <v/>
      </c>
      <c r="G54" s="27" t="str">
        <f t="shared" si="13"/>
        <v/>
      </c>
      <c r="H54" s="28" t="str">
        <f t="shared" si="0"/>
        <v/>
      </c>
      <c r="I54" s="3" t="str">
        <f t="shared" si="14"/>
        <v/>
      </c>
      <c r="J54" s="3" t="str">
        <f t="shared" si="1"/>
        <v xml:space="preserve"> </v>
      </c>
      <c r="K54" s="3" t="str">
        <f t="shared" si="15"/>
        <v/>
      </c>
      <c r="L54" s="30" t="str">
        <f t="shared" si="2"/>
        <v/>
      </c>
      <c r="M54" s="29" t="str">
        <f t="shared" si="16"/>
        <v/>
      </c>
      <c r="N54" s="29" t="str">
        <f t="shared" si="17"/>
        <v/>
      </c>
      <c r="O54" s="29" t="str">
        <f t="shared" si="3"/>
        <v/>
      </c>
      <c r="P54" s="29" t="str">
        <f t="shared" si="4"/>
        <v/>
      </c>
      <c r="Q54" s="29" t="str">
        <f t="shared" si="5"/>
        <v/>
      </c>
      <c r="R54" s="23" t="str">
        <f t="shared" si="6"/>
        <v/>
      </c>
      <c r="S54" s="5" t="str">
        <f t="shared" si="18"/>
        <v/>
      </c>
      <c r="T54" s="5" t="str">
        <f t="shared" si="19"/>
        <v/>
      </c>
      <c r="U54" s="5" t="str">
        <f t="shared" si="20"/>
        <v/>
      </c>
      <c r="V54" s="4" t="str">
        <f t="shared" si="25"/>
        <v/>
      </c>
      <c r="W54" s="6" t="str">
        <f t="shared" si="8"/>
        <v/>
      </c>
      <c r="X54" s="22" t="str">
        <f t="shared" si="9"/>
        <v/>
      </c>
      <c r="Y54" s="22" t="str">
        <f t="shared" si="10"/>
        <v/>
      </c>
      <c r="Z54" s="22"/>
      <c r="AA54" s="1">
        <v>51</v>
      </c>
      <c r="AB54" s="1">
        <v>1</v>
      </c>
      <c r="AC54" s="1" t="s">
        <v>38</v>
      </c>
      <c r="AD54" s="2">
        <v>45310</v>
      </c>
      <c r="AE54" s="2">
        <v>43780</v>
      </c>
      <c r="AF54" s="36">
        <v>379.16</v>
      </c>
      <c r="AG54" s="36">
        <v>320.66000000000003</v>
      </c>
      <c r="AH54" s="36">
        <v>58.5</v>
      </c>
      <c r="AI54" s="36">
        <v>6.93</v>
      </c>
      <c r="AK54" s="34" t="e">
        <f t="shared" si="21"/>
        <v>#VALUE!</v>
      </c>
      <c r="AL54" s="34" t="e">
        <f t="shared" si="22"/>
        <v>#VALUE!</v>
      </c>
      <c r="AM54" s="34" t="e">
        <f t="shared" si="23"/>
        <v>#VALUE!</v>
      </c>
      <c r="AN54" s="34" t="e">
        <f t="shared" si="24"/>
        <v>#VALUE!</v>
      </c>
    </row>
    <row r="55" spans="5:40" x14ac:dyDescent="0.25">
      <c r="E55" s="25">
        <f t="shared" si="11"/>
        <v>52</v>
      </c>
      <c r="F55" s="26" t="str">
        <f t="shared" si="12"/>
        <v/>
      </c>
      <c r="G55" s="27" t="str">
        <f t="shared" si="13"/>
        <v/>
      </c>
      <c r="H55" s="28" t="str">
        <f t="shared" si="0"/>
        <v/>
      </c>
      <c r="I55" s="3" t="str">
        <f t="shared" si="14"/>
        <v/>
      </c>
      <c r="J55" s="3" t="str">
        <f t="shared" si="1"/>
        <v xml:space="preserve"> </v>
      </c>
      <c r="K55" s="3" t="str">
        <f t="shared" si="15"/>
        <v/>
      </c>
      <c r="L55" s="30" t="str">
        <f t="shared" si="2"/>
        <v/>
      </c>
      <c r="M55" s="29" t="str">
        <f t="shared" si="16"/>
        <v/>
      </c>
      <c r="N55" s="29" t="str">
        <f t="shared" si="17"/>
        <v/>
      </c>
      <c r="O55" s="29" t="str">
        <f t="shared" si="3"/>
        <v/>
      </c>
      <c r="P55" s="29" t="str">
        <f t="shared" si="4"/>
        <v/>
      </c>
      <c r="Q55" s="29" t="str">
        <f t="shared" si="5"/>
        <v/>
      </c>
      <c r="R55" s="23" t="str">
        <f t="shared" si="6"/>
        <v/>
      </c>
      <c r="S55" s="5" t="str">
        <f t="shared" si="18"/>
        <v/>
      </c>
      <c r="T55" s="5" t="str">
        <f t="shared" si="19"/>
        <v/>
      </c>
      <c r="U55" s="5" t="str">
        <f t="shared" si="20"/>
        <v/>
      </c>
      <c r="V55" s="4" t="str">
        <f t="shared" si="25"/>
        <v/>
      </c>
      <c r="W55" s="6" t="str">
        <f t="shared" si="8"/>
        <v/>
      </c>
      <c r="X55" s="22" t="str">
        <f t="shared" si="9"/>
        <v/>
      </c>
      <c r="Y55" s="22" t="str">
        <f t="shared" si="10"/>
        <v/>
      </c>
      <c r="Z55" s="22"/>
      <c r="AA55" s="1">
        <v>52</v>
      </c>
      <c r="AB55" s="1">
        <v>1</v>
      </c>
      <c r="AC55" s="1" t="s">
        <v>38</v>
      </c>
      <c r="AD55" s="2">
        <v>45341</v>
      </c>
      <c r="AE55" s="2">
        <v>43780</v>
      </c>
      <c r="AF55" s="36">
        <v>379.16</v>
      </c>
      <c r="AG55" s="36">
        <v>326.13</v>
      </c>
      <c r="AH55" s="36">
        <v>53.03</v>
      </c>
      <c r="AI55" s="36">
        <v>6.29</v>
      </c>
      <c r="AK55" s="34" t="e">
        <f t="shared" si="21"/>
        <v>#VALUE!</v>
      </c>
      <c r="AL55" s="34" t="e">
        <f t="shared" si="22"/>
        <v>#VALUE!</v>
      </c>
      <c r="AM55" s="34" t="e">
        <f t="shared" si="23"/>
        <v>#VALUE!</v>
      </c>
      <c r="AN55" s="34" t="e">
        <f t="shared" si="24"/>
        <v>#VALUE!</v>
      </c>
    </row>
    <row r="56" spans="5:40" x14ac:dyDescent="0.25">
      <c r="E56" s="25">
        <f t="shared" si="11"/>
        <v>53</v>
      </c>
      <c r="F56" s="26" t="str">
        <f t="shared" si="12"/>
        <v/>
      </c>
      <c r="G56" s="27" t="str">
        <f t="shared" si="13"/>
        <v/>
      </c>
      <c r="H56" s="28" t="str">
        <f t="shared" si="0"/>
        <v/>
      </c>
      <c r="I56" s="3" t="str">
        <f t="shared" si="14"/>
        <v/>
      </c>
      <c r="J56" s="3" t="str">
        <f t="shared" si="1"/>
        <v xml:space="preserve"> </v>
      </c>
      <c r="K56" s="3" t="str">
        <f t="shared" si="15"/>
        <v/>
      </c>
      <c r="L56" s="30" t="str">
        <f t="shared" si="2"/>
        <v/>
      </c>
      <c r="M56" s="29" t="str">
        <f t="shared" si="16"/>
        <v/>
      </c>
      <c r="N56" s="29" t="str">
        <f t="shared" si="17"/>
        <v/>
      </c>
      <c r="O56" s="29" t="str">
        <f t="shared" si="3"/>
        <v/>
      </c>
      <c r="P56" s="29" t="str">
        <f t="shared" si="4"/>
        <v/>
      </c>
      <c r="Q56" s="29" t="str">
        <f t="shared" si="5"/>
        <v/>
      </c>
      <c r="R56" s="23" t="str">
        <f t="shared" si="6"/>
        <v/>
      </c>
      <c r="S56" s="5" t="str">
        <f t="shared" si="18"/>
        <v/>
      </c>
      <c r="T56" s="5" t="str">
        <f t="shared" si="19"/>
        <v/>
      </c>
      <c r="U56" s="5" t="str">
        <f t="shared" si="20"/>
        <v/>
      </c>
      <c r="V56" s="4" t="str">
        <f t="shared" si="25"/>
        <v/>
      </c>
      <c r="W56" s="6" t="str">
        <f t="shared" si="8"/>
        <v/>
      </c>
      <c r="X56" s="22" t="str">
        <f t="shared" si="9"/>
        <v/>
      </c>
      <c r="Y56" s="22" t="str">
        <f t="shared" si="10"/>
        <v/>
      </c>
      <c r="Z56" s="22"/>
      <c r="AA56" s="1">
        <v>53</v>
      </c>
      <c r="AB56" s="1">
        <v>1</v>
      </c>
      <c r="AC56" s="1" t="s">
        <v>38</v>
      </c>
      <c r="AD56" s="2">
        <v>45370</v>
      </c>
      <c r="AE56" s="2">
        <v>43780</v>
      </c>
      <c r="AF56" s="36">
        <v>379.16</v>
      </c>
      <c r="AG56" s="36">
        <v>334.69</v>
      </c>
      <c r="AH56" s="36">
        <v>44.47</v>
      </c>
      <c r="AI56" s="36">
        <v>5.64</v>
      </c>
      <c r="AK56" s="34" t="e">
        <f t="shared" si="21"/>
        <v>#VALUE!</v>
      </c>
      <c r="AL56" s="34" t="e">
        <f t="shared" si="22"/>
        <v>#VALUE!</v>
      </c>
      <c r="AM56" s="34" t="e">
        <f t="shared" si="23"/>
        <v>#VALUE!</v>
      </c>
      <c r="AN56" s="34" t="e">
        <f t="shared" si="24"/>
        <v>#VALUE!</v>
      </c>
    </row>
    <row r="57" spans="5:40" x14ac:dyDescent="0.25">
      <c r="E57" s="25">
        <f t="shared" si="11"/>
        <v>54</v>
      </c>
      <c r="F57" s="26" t="str">
        <f t="shared" si="12"/>
        <v/>
      </c>
      <c r="G57" s="27" t="str">
        <f t="shared" si="13"/>
        <v/>
      </c>
      <c r="H57" s="28" t="str">
        <f t="shared" si="0"/>
        <v/>
      </c>
      <c r="I57" s="3" t="str">
        <f t="shared" si="14"/>
        <v/>
      </c>
      <c r="J57" s="3" t="str">
        <f t="shared" si="1"/>
        <v xml:space="preserve"> </v>
      </c>
      <c r="K57" s="3" t="str">
        <f t="shared" si="15"/>
        <v/>
      </c>
      <c r="L57" s="30" t="str">
        <f t="shared" si="2"/>
        <v/>
      </c>
      <c r="M57" s="29" t="str">
        <f t="shared" si="16"/>
        <v/>
      </c>
      <c r="N57" s="29" t="str">
        <f t="shared" si="17"/>
        <v/>
      </c>
      <c r="O57" s="29" t="str">
        <f t="shared" si="3"/>
        <v/>
      </c>
      <c r="P57" s="29" t="str">
        <f t="shared" si="4"/>
        <v/>
      </c>
      <c r="Q57" s="29" t="str">
        <f t="shared" si="5"/>
        <v/>
      </c>
      <c r="R57" s="23" t="str">
        <f t="shared" si="6"/>
        <v/>
      </c>
      <c r="S57" s="5" t="str">
        <f t="shared" si="18"/>
        <v/>
      </c>
      <c r="T57" s="5" t="str">
        <f t="shared" si="19"/>
        <v/>
      </c>
      <c r="U57" s="5" t="str">
        <f t="shared" si="20"/>
        <v/>
      </c>
      <c r="V57" s="4" t="str">
        <f t="shared" si="25"/>
        <v/>
      </c>
      <c r="W57" s="6" t="str">
        <f t="shared" si="8"/>
        <v/>
      </c>
      <c r="X57" s="22" t="str">
        <f t="shared" si="9"/>
        <v/>
      </c>
      <c r="Y57" s="22" t="str">
        <f t="shared" si="10"/>
        <v/>
      </c>
      <c r="Z57" s="22"/>
      <c r="AA57" s="1">
        <v>54</v>
      </c>
      <c r="AB57" s="1">
        <v>1</v>
      </c>
      <c r="AC57" s="1" t="s">
        <v>38</v>
      </c>
      <c r="AD57" s="2">
        <v>45401</v>
      </c>
      <c r="AE57" s="2">
        <v>43780</v>
      </c>
      <c r="AF57" s="36">
        <v>379.16</v>
      </c>
      <c r="AG57" s="36">
        <v>337.26</v>
      </c>
      <c r="AH57" s="36">
        <v>41.9</v>
      </c>
      <c r="AI57" s="36">
        <v>4.97</v>
      </c>
      <c r="AK57" s="34" t="e">
        <f t="shared" si="21"/>
        <v>#VALUE!</v>
      </c>
      <c r="AL57" s="34" t="e">
        <f t="shared" si="22"/>
        <v>#VALUE!</v>
      </c>
      <c r="AM57" s="34" t="e">
        <f t="shared" si="23"/>
        <v>#VALUE!</v>
      </c>
      <c r="AN57" s="34" t="e">
        <f t="shared" si="24"/>
        <v>#VALUE!</v>
      </c>
    </row>
    <row r="58" spans="5:40" x14ac:dyDescent="0.25">
      <c r="E58" s="25">
        <f t="shared" si="11"/>
        <v>55</v>
      </c>
      <c r="F58" s="26" t="str">
        <f t="shared" si="12"/>
        <v/>
      </c>
      <c r="G58" s="27" t="str">
        <f t="shared" si="13"/>
        <v/>
      </c>
      <c r="H58" s="28" t="str">
        <f t="shared" si="0"/>
        <v/>
      </c>
      <c r="I58" s="3" t="str">
        <f t="shared" si="14"/>
        <v/>
      </c>
      <c r="J58" s="3" t="str">
        <f t="shared" si="1"/>
        <v xml:space="preserve"> </v>
      </c>
      <c r="K58" s="3" t="str">
        <f t="shared" si="15"/>
        <v/>
      </c>
      <c r="L58" s="30" t="str">
        <f t="shared" si="2"/>
        <v/>
      </c>
      <c r="M58" s="29" t="str">
        <f t="shared" si="16"/>
        <v/>
      </c>
      <c r="N58" s="29" t="str">
        <f t="shared" si="17"/>
        <v/>
      </c>
      <c r="O58" s="29" t="str">
        <f t="shared" si="3"/>
        <v/>
      </c>
      <c r="P58" s="29" t="str">
        <f t="shared" si="4"/>
        <v/>
      </c>
      <c r="Q58" s="29" t="str">
        <f t="shared" si="5"/>
        <v/>
      </c>
      <c r="R58" s="23" t="str">
        <f t="shared" si="6"/>
        <v/>
      </c>
      <c r="S58" s="5" t="str">
        <f t="shared" si="18"/>
        <v/>
      </c>
      <c r="T58" s="5" t="str">
        <f t="shared" si="19"/>
        <v/>
      </c>
      <c r="U58" s="5" t="str">
        <f t="shared" si="20"/>
        <v/>
      </c>
      <c r="V58" s="4" t="str">
        <f t="shared" si="25"/>
        <v/>
      </c>
      <c r="W58" s="6" t="str">
        <f t="shared" si="8"/>
        <v/>
      </c>
      <c r="X58" s="22" t="str">
        <f t="shared" si="9"/>
        <v/>
      </c>
      <c r="Y58" s="22" t="str">
        <f t="shared" si="10"/>
        <v/>
      </c>
      <c r="Z58" s="22"/>
      <c r="AA58" s="1">
        <v>55</v>
      </c>
      <c r="AB58" s="1">
        <v>1</v>
      </c>
      <c r="AC58" s="1" t="s">
        <v>38</v>
      </c>
      <c r="AD58" s="2">
        <v>45431</v>
      </c>
      <c r="AE58" s="2">
        <v>43780</v>
      </c>
      <c r="AF58" s="36">
        <v>379.16</v>
      </c>
      <c r="AG58" s="36">
        <v>344.12</v>
      </c>
      <c r="AH58" s="36">
        <v>35.04</v>
      </c>
      <c r="AI58" s="36">
        <v>4.29</v>
      </c>
      <c r="AK58" s="34" t="e">
        <f t="shared" si="21"/>
        <v>#VALUE!</v>
      </c>
      <c r="AL58" s="34" t="e">
        <f t="shared" si="22"/>
        <v>#VALUE!</v>
      </c>
      <c r="AM58" s="34" t="e">
        <f t="shared" si="23"/>
        <v>#VALUE!</v>
      </c>
      <c r="AN58" s="34" t="e">
        <f t="shared" si="24"/>
        <v>#VALUE!</v>
      </c>
    </row>
    <row r="59" spans="5:40" x14ac:dyDescent="0.25">
      <c r="E59" s="25">
        <f t="shared" si="11"/>
        <v>56</v>
      </c>
      <c r="F59" s="26" t="str">
        <f t="shared" si="12"/>
        <v/>
      </c>
      <c r="G59" s="27" t="str">
        <f t="shared" si="13"/>
        <v/>
      </c>
      <c r="H59" s="28" t="str">
        <f t="shared" si="0"/>
        <v/>
      </c>
      <c r="I59" s="3" t="str">
        <f t="shared" si="14"/>
        <v/>
      </c>
      <c r="J59" s="3" t="str">
        <f t="shared" si="1"/>
        <v xml:space="preserve"> </v>
      </c>
      <c r="K59" s="3" t="str">
        <f t="shared" si="15"/>
        <v/>
      </c>
      <c r="L59" s="30" t="str">
        <f t="shared" si="2"/>
        <v/>
      </c>
      <c r="M59" s="29" t="str">
        <f t="shared" si="16"/>
        <v/>
      </c>
      <c r="N59" s="29" t="str">
        <f t="shared" si="17"/>
        <v/>
      </c>
      <c r="O59" s="29" t="str">
        <f t="shared" si="3"/>
        <v/>
      </c>
      <c r="P59" s="29" t="str">
        <f t="shared" si="4"/>
        <v/>
      </c>
      <c r="Q59" s="29" t="str">
        <f t="shared" si="5"/>
        <v/>
      </c>
      <c r="R59" s="23" t="str">
        <f t="shared" si="6"/>
        <v/>
      </c>
      <c r="S59" s="5" t="str">
        <f t="shared" si="18"/>
        <v/>
      </c>
      <c r="T59" s="5" t="str">
        <f t="shared" si="19"/>
        <v/>
      </c>
      <c r="U59" s="5" t="str">
        <f t="shared" si="20"/>
        <v/>
      </c>
      <c r="V59" s="4" t="str">
        <f t="shared" si="25"/>
        <v/>
      </c>
      <c r="W59" s="6" t="str">
        <f t="shared" si="8"/>
        <v/>
      </c>
      <c r="X59" s="22" t="str">
        <f t="shared" si="9"/>
        <v/>
      </c>
      <c r="Y59" s="22" t="str">
        <f t="shared" si="10"/>
        <v/>
      </c>
      <c r="Z59" s="22"/>
      <c r="AA59" s="1">
        <v>56</v>
      </c>
      <c r="AB59" s="1">
        <v>1</v>
      </c>
      <c r="AC59" s="1" t="s">
        <v>38</v>
      </c>
      <c r="AD59" s="2">
        <v>45462</v>
      </c>
      <c r="AE59" s="2">
        <v>43780</v>
      </c>
      <c r="AF59" s="36">
        <v>379.16</v>
      </c>
      <c r="AG59" s="36">
        <v>348.75</v>
      </c>
      <c r="AH59" s="36">
        <v>30.41</v>
      </c>
      <c r="AI59" s="36">
        <v>3.6</v>
      </c>
      <c r="AK59" s="34" t="e">
        <f t="shared" si="21"/>
        <v>#VALUE!</v>
      </c>
      <c r="AL59" s="34" t="e">
        <f t="shared" si="22"/>
        <v>#VALUE!</v>
      </c>
      <c r="AM59" s="34" t="e">
        <f t="shared" si="23"/>
        <v>#VALUE!</v>
      </c>
      <c r="AN59" s="34" t="e">
        <f t="shared" si="24"/>
        <v>#VALUE!</v>
      </c>
    </row>
    <row r="60" spans="5:40" x14ac:dyDescent="0.25">
      <c r="E60" s="25">
        <f t="shared" si="11"/>
        <v>57</v>
      </c>
      <c r="F60" s="26" t="str">
        <f t="shared" si="12"/>
        <v/>
      </c>
      <c r="G60" s="27" t="str">
        <f t="shared" si="13"/>
        <v/>
      </c>
      <c r="H60" s="28" t="str">
        <f t="shared" si="0"/>
        <v/>
      </c>
      <c r="I60" s="3" t="str">
        <f t="shared" si="14"/>
        <v/>
      </c>
      <c r="J60" s="3" t="str">
        <f t="shared" si="1"/>
        <v xml:space="preserve"> </v>
      </c>
      <c r="K60" s="3" t="str">
        <f t="shared" si="15"/>
        <v/>
      </c>
      <c r="L60" s="30" t="str">
        <f t="shared" si="2"/>
        <v/>
      </c>
      <c r="M60" s="29" t="str">
        <f t="shared" si="16"/>
        <v/>
      </c>
      <c r="N60" s="29" t="str">
        <f t="shared" si="17"/>
        <v/>
      </c>
      <c r="O60" s="29" t="str">
        <f t="shared" si="3"/>
        <v/>
      </c>
      <c r="P60" s="29" t="str">
        <f t="shared" si="4"/>
        <v/>
      </c>
      <c r="Q60" s="29" t="str">
        <f t="shared" si="5"/>
        <v/>
      </c>
      <c r="R60" s="23" t="str">
        <f t="shared" si="6"/>
        <v/>
      </c>
      <c r="S60" s="5" t="str">
        <f t="shared" si="18"/>
        <v/>
      </c>
      <c r="T60" s="5" t="str">
        <f t="shared" si="19"/>
        <v/>
      </c>
      <c r="U60" s="5" t="str">
        <f t="shared" si="20"/>
        <v/>
      </c>
      <c r="V60" s="4" t="str">
        <f t="shared" si="25"/>
        <v/>
      </c>
      <c r="W60" s="6" t="str">
        <f t="shared" si="8"/>
        <v/>
      </c>
      <c r="X60" s="22" t="str">
        <f t="shared" si="9"/>
        <v/>
      </c>
      <c r="Y60" s="22" t="str">
        <f t="shared" si="10"/>
        <v/>
      </c>
      <c r="Z60" s="22"/>
      <c r="AA60" s="1">
        <v>57</v>
      </c>
      <c r="AB60" s="1">
        <v>1</v>
      </c>
      <c r="AC60" s="1" t="s">
        <v>38</v>
      </c>
      <c r="AD60" s="2">
        <v>45492</v>
      </c>
      <c r="AE60" s="2">
        <v>43780</v>
      </c>
      <c r="AF60" s="36">
        <v>379.16</v>
      </c>
      <c r="AG60" s="36">
        <v>355.42</v>
      </c>
      <c r="AH60" s="36">
        <v>23.74</v>
      </c>
      <c r="AI60" s="36">
        <v>2.91</v>
      </c>
      <c r="AK60" s="34" t="e">
        <f t="shared" si="21"/>
        <v>#VALUE!</v>
      </c>
      <c r="AL60" s="34" t="e">
        <f t="shared" si="22"/>
        <v>#VALUE!</v>
      </c>
      <c r="AM60" s="34" t="e">
        <f t="shared" si="23"/>
        <v>#VALUE!</v>
      </c>
      <c r="AN60" s="34" t="e">
        <f t="shared" si="24"/>
        <v>#VALUE!</v>
      </c>
    </row>
    <row r="61" spans="5:40" x14ac:dyDescent="0.25">
      <c r="E61" s="25">
        <f t="shared" si="11"/>
        <v>58</v>
      </c>
      <c r="F61" s="26" t="str">
        <f t="shared" si="12"/>
        <v/>
      </c>
      <c r="G61" s="27" t="str">
        <f t="shared" si="13"/>
        <v/>
      </c>
      <c r="H61" s="28" t="str">
        <f t="shared" si="0"/>
        <v/>
      </c>
      <c r="I61" s="3" t="str">
        <f t="shared" si="14"/>
        <v/>
      </c>
      <c r="J61" s="3" t="str">
        <f t="shared" si="1"/>
        <v xml:space="preserve"> </v>
      </c>
      <c r="K61" s="3" t="str">
        <f t="shared" si="15"/>
        <v/>
      </c>
      <c r="L61" s="30" t="str">
        <f t="shared" si="2"/>
        <v/>
      </c>
      <c r="M61" s="29" t="str">
        <f t="shared" si="16"/>
        <v/>
      </c>
      <c r="N61" s="29" t="str">
        <f t="shared" si="17"/>
        <v/>
      </c>
      <c r="O61" s="29" t="str">
        <f t="shared" si="3"/>
        <v/>
      </c>
      <c r="P61" s="29" t="str">
        <f t="shared" si="4"/>
        <v/>
      </c>
      <c r="Q61" s="29" t="str">
        <f t="shared" si="5"/>
        <v/>
      </c>
      <c r="R61" s="23" t="str">
        <f t="shared" si="6"/>
        <v/>
      </c>
      <c r="S61" s="5" t="str">
        <f t="shared" si="18"/>
        <v/>
      </c>
      <c r="T61" s="5" t="str">
        <f t="shared" si="19"/>
        <v/>
      </c>
      <c r="U61" s="5" t="str">
        <f t="shared" si="20"/>
        <v/>
      </c>
      <c r="V61" s="4" t="str">
        <f t="shared" si="25"/>
        <v/>
      </c>
      <c r="W61" s="6" t="str">
        <f t="shared" si="8"/>
        <v/>
      </c>
      <c r="X61" s="22" t="str">
        <f t="shared" si="9"/>
        <v/>
      </c>
      <c r="Y61" s="22" t="str">
        <f t="shared" si="10"/>
        <v/>
      </c>
      <c r="Z61" s="22"/>
      <c r="AA61" s="1">
        <v>58</v>
      </c>
      <c r="AB61" s="1">
        <v>1</v>
      </c>
      <c r="AC61" s="1" t="s">
        <v>38</v>
      </c>
      <c r="AD61" s="2">
        <v>45523</v>
      </c>
      <c r="AE61" s="2">
        <v>43780</v>
      </c>
      <c r="AF61" s="36">
        <v>379.16</v>
      </c>
      <c r="AG61" s="36">
        <v>360.62</v>
      </c>
      <c r="AH61" s="36">
        <v>18.54</v>
      </c>
      <c r="AI61" s="36">
        <v>2.2000000000000002</v>
      </c>
      <c r="AK61" s="34" t="e">
        <f t="shared" si="21"/>
        <v>#VALUE!</v>
      </c>
      <c r="AL61" s="34" t="e">
        <f t="shared" si="22"/>
        <v>#VALUE!</v>
      </c>
      <c r="AM61" s="34" t="e">
        <f t="shared" si="23"/>
        <v>#VALUE!</v>
      </c>
      <c r="AN61" s="34" t="e">
        <f t="shared" si="24"/>
        <v>#VALUE!</v>
      </c>
    </row>
    <row r="62" spans="5:40" x14ac:dyDescent="0.25">
      <c r="E62" s="25">
        <f t="shared" si="11"/>
        <v>59</v>
      </c>
      <c r="F62" s="26" t="str">
        <f t="shared" si="12"/>
        <v/>
      </c>
      <c r="G62" s="27" t="str">
        <f t="shared" si="13"/>
        <v/>
      </c>
      <c r="H62" s="28" t="str">
        <f t="shared" si="0"/>
        <v/>
      </c>
      <c r="I62" s="3" t="str">
        <f t="shared" si="14"/>
        <v/>
      </c>
      <c r="J62" s="3" t="str">
        <f t="shared" si="1"/>
        <v xml:space="preserve"> </v>
      </c>
      <c r="K62" s="3" t="str">
        <f t="shared" si="15"/>
        <v/>
      </c>
      <c r="L62" s="30" t="str">
        <f t="shared" si="2"/>
        <v/>
      </c>
      <c r="M62" s="29" t="str">
        <f t="shared" si="16"/>
        <v/>
      </c>
      <c r="N62" s="29" t="str">
        <f t="shared" si="17"/>
        <v/>
      </c>
      <c r="O62" s="29" t="str">
        <f t="shared" si="3"/>
        <v/>
      </c>
      <c r="P62" s="29" t="str">
        <f t="shared" si="4"/>
        <v/>
      </c>
      <c r="Q62" s="29" t="str">
        <f t="shared" si="5"/>
        <v/>
      </c>
      <c r="R62" s="23" t="str">
        <f t="shared" si="6"/>
        <v/>
      </c>
      <c r="S62" s="5" t="str">
        <f t="shared" si="18"/>
        <v/>
      </c>
      <c r="T62" s="5" t="str">
        <f t="shared" si="19"/>
        <v/>
      </c>
      <c r="U62" s="5" t="str">
        <f t="shared" si="20"/>
        <v/>
      </c>
      <c r="V62" s="4" t="str">
        <f t="shared" si="25"/>
        <v/>
      </c>
      <c r="W62" s="6" t="str">
        <f t="shared" si="8"/>
        <v/>
      </c>
      <c r="X62" s="22" t="str">
        <f t="shared" si="9"/>
        <v/>
      </c>
      <c r="Y62" s="22" t="str">
        <f t="shared" si="10"/>
        <v/>
      </c>
      <c r="Z62" s="22"/>
      <c r="AA62" s="1">
        <v>59</v>
      </c>
      <c r="AB62" s="1">
        <v>1</v>
      </c>
      <c r="AC62" s="1" t="s">
        <v>38</v>
      </c>
      <c r="AD62" s="2">
        <v>45554</v>
      </c>
      <c r="AE62" s="2">
        <v>43780</v>
      </c>
      <c r="AF62" s="36">
        <v>379.16</v>
      </c>
      <c r="AG62" s="36">
        <v>366.69</v>
      </c>
      <c r="AH62" s="36">
        <v>12.47</v>
      </c>
      <c r="AI62" s="36">
        <v>1.47</v>
      </c>
      <c r="AK62" s="34" t="e">
        <f t="shared" si="21"/>
        <v>#VALUE!</v>
      </c>
      <c r="AL62" s="34" t="e">
        <f t="shared" si="22"/>
        <v>#VALUE!</v>
      </c>
      <c r="AM62" s="34" t="e">
        <f t="shared" si="23"/>
        <v>#VALUE!</v>
      </c>
      <c r="AN62" s="34" t="e">
        <f t="shared" si="24"/>
        <v>#VALUE!</v>
      </c>
    </row>
    <row r="63" spans="5:40" x14ac:dyDescent="0.25">
      <c r="E63" s="25">
        <f t="shared" si="11"/>
        <v>60</v>
      </c>
      <c r="F63" s="26" t="str">
        <f t="shared" si="12"/>
        <v/>
      </c>
      <c r="G63" s="27" t="str">
        <f t="shared" si="13"/>
        <v/>
      </c>
      <c r="H63" s="28" t="str">
        <f t="shared" si="0"/>
        <v/>
      </c>
      <c r="I63" s="3" t="str">
        <f t="shared" si="14"/>
        <v/>
      </c>
      <c r="J63" s="3" t="str">
        <f t="shared" si="1"/>
        <v xml:space="preserve"> </v>
      </c>
      <c r="K63" s="3" t="str">
        <f t="shared" si="15"/>
        <v/>
      </c>
      <c r="L63" s="30" t="str">
        <f t="shared" si="2"/>
        <v/>
      </c>
      <c r="M63" s="29" t="str">
        <f t="shared" si="16"/>
        <v/>
      </c>
      <c r="N63" s="29" t="str">
        <f t="shared" si="17"/>
        <v/>
      </c>
      <c r="O63" s="29" t="str">
        <f t="shared" si="3"/>
        <v/>
      </c>
      <c r="P63" s="29" t="str">
        <f t="shared" si="4"/>
        <v/>
      </c>
      <c r="Q63" s="29" t="str">
        <f t="shared" si="5"/>
        <v/>
      </c>
      <c r="R63" s="23" t="str">
        <f t="shared" si="6"/>
        <v/>
      </c>
      <c r="S63" s="5" t="str">
        <f t="shared" si="18"/>
        <v/>
      </c>
      <c r="T63" s="5" t="str">
        <f t="shared" si="19"/>
        <v/>
      </c>
      <c r="U63" s="5" t="str">
        <f t="shared" si="20"/>
        <v/>
      </c>
      <c r="V63" s="4" t="str">
        <f t="shared" si="25"/>
        <v/>
      </c>
      <c r="W63" s="6" t="str">
        <f t="shared" si="8"/>
        <v/>
      </c>
      <c r="X63" s="22" t="str">
        <f t="shared" si="9"/>
        <v/>
      </c>
      <c r="Y63" s="22" t="str">
        <f t="shared" si="10"/>
        <v/>
      </c>
      <c r="Z63" s="22"/>
      <c r="AA63" s="1">
        <v>60</v>
      </c>
      <c r="AB63" s="1">
        <v>1</v>
      </c>
      <c r="AC63" s="1" t="s">
        <v>38</v>
      </c>
      <c r="AD63" s="2">
        <v>45584</v>
      </c>
      <c r="AE63" s="2">
        <v>43780</v>
      </c>
      <c r="AF63" s="36">
        <v>379.26</v>
      </c>
      <c r="AG63" s="36">
        <v>373.18</v>
      </c>
      <c r="AH63" s="36">
        <v>6.08</v>
      </c>
      <c r="AI63" s="36">
        <v>0.74</v>
      </c>
      <c r="AK63" s="34" t="e">
        <f t="shared" si="21"/>
        <v>#VALUE!</v>
      </c>
      <c r="AL63" s="34" t="e">
        <f t="shared" si="22"/>
        <v>#VALUE!</v>
      </c>
      <c r="AM63" s="34" t="e">
        <f t="shared" si="23"/>
        <v>#VALUE!</v>
      </c>
      <c r="AN63" s="34" t="e">
        <f t="shared" si="24"/>
        <v>#VALUE!</v>
      </c>
    </row>
    <row r="64" spans="5:40" x14ac:dyDescent="0.25">
      <c r="E64" s="25" t="str">
        <f t="shared" si="11"/>
        <v xml:space="preserve"> </v>
      </c>
      <c r="F64" s="26" t="str">
        <f t="shared" si="12"/>
        <v xml:space="preserve"> </v>
      </c>
      <c r="G64" s="27" t="str">
        <f t="shared" si="13"/>
        <v xml:space="preserve"> </v>
      </c>
      <c r="H64" s="28" t="str">
        <f t="shared" si="0"/>
        <v xml:space="preserve"> </v>
      </c>
      <c r="I64" s="3" t="str">
        <f t="shared" si="14"/>
        <v xml:space="preserve"> </v>
      </c>
      <c r="J64" s="3" t="str">
        <f t="shared" si="1"/>
        <v xml:space="preserve"> </v>
      </c>
      <c r="K64" s="3" t="str">
        <f t="shared" si="15"/>
        <v/>
      </c>
      <c r="L64" s="30" t="str">
        <f t="shared" ref="L64:L69" si="26">IFERROR(ROUND(IF($C$18=" "," ",$C$13/K64),2),"")</f>
        <v/>
      </c>
      <c r="M64" s="29" t="str">
        <f t="shared" si="16"/>
        <v/>
      </c>
      <c r="N64" s="29" t="str">
        <f t="shared" si="17"/>
        <v/>
      </c>
      <c r="O64" s="29" t="str">
        <f t="shared" si="3"/>
        <v/>
      </c>
      <c r="P64" s="29" t="str">
        <f t="shared" si="4"/>
        <v/>
      </c>
      <c r="Q64" s="29" t="str">
        <f t="shared" si="5"/>
        <v/>
      </c>
      <c r="R64" s="23" t="str">
        <f t="shared" si="6"/>
        <v/>
      </c>
      <c r="S64" s="5" t="str">
        <f t="shared" si="18"/>
        <v/>
      </c>
      <c r="T64" s="5" t="str">
        <f t="shared" si="19"/>
        <v/>
      </c>
      <c r="U64" s="5" t="str">
        <f t="shared" si="20"/>
        <v/>
      </c>
      <c r="V64" s="4" t="str">
        <f t="shared" si="25"/>
        <v xml:space="preserve"> </v>
      </c>
      <c r="W64" s="6" t="str">
        <f t="shared" si="8"/>
        <v xml:space="preserve"> </v>
      </c>
      <c r="X64" s="22" t="str">
        <f t="shared" si="9"/>
        <v/>
      </c>
      <c r="Y64" s="22" t="str">
        <f t="shared" si="10"/>
        <v/>
      </c>
      <c r="Z64" s="22"/>
    </row>
    <row r="65" spans="5:26" x14ac:dyDescent="0.25">
      <c r="E65" s="25" t="str">
        <f t="shared" si="11"/>
        <v xml:space="preserve"> </v>
      </c>
      <c r="F65" s="26" t="str">
        <f t="shared" si="12"/>
        <v xml:space="preserve"> </v>
      </c>
      <c r="G65" s="27" t="str">
        <f t="shared" si="13"/>
        <v xml:space="preserve"> </v>
      </c>
      <c r="H65" s="28" t="str">
        <f t="shared" si="0"/>
        <v xml:space="preserve"> </v>
      </c>
      <c r="I65" s="3" t="str">
        <f t="shared" si="14"/>
        <v xml:space="preserve"> </v>
      </c>
      <c r="J65" s="3" t="str">
        <f t="shared" si="1"/>
        <v xml:space="preserve"> </v>
      </c>
      <c r="K65" s="3" t="str">
        <f t="shared" si="15"/>
        <v/>
      </c>
      <c r="L65" s="30" t="str">
        <f t="shared" si="26"/>
        <v/>
      </c>
      <c r="M65" s="29" t="str">
        <f t="shared" si="16"/>
        <v/>
      </c>
      <c r="N65" s="29" t="str">
        <f t="shared" si="17"/>
        <v/>
      </c>
      <c r="O65" s="29" t="str">
        <f t="shared" si="3"/>
        <v/>
      </c>
      <c r="P65" s="29" t="str">
        <f t="shared" si="4"/>
        <v/>
      </c>
      <c r="Q65" s="29" t="str">
        <f t="shared" si="5"/>
        <v/>
      </c>
      <c r="R65" s="23" t="str">
        <f t="shared" si="6"/>
        <v/>
      </c>
      <c r="S65" s="5" t="str">
        <f t="shared" si="18"/>
        <v/>
      </c>
      <c r="T65" s="5" t="str">
        <f t="shared" si="19"/>
        <v/>
      </c>
      <c r="U65" s="5" t="str">
        <f t="shared" si="20"/>
        <v/>
      </c>
      <c r="V65" s="4" t="str">
        <f t="shared" si="25"/>
        <v xml:space="preserve"> </v>
      </c>
      <c r="W65" s="6" t="str">
        <f t="shared" si="8"/>
        <v xml:space="preserve"> </v>
      </c>
      <c r="X65" s="22" t="str">
        <f t="shared" si="9"/>
        <v/>
      </c>
      <c r="Y65" s="22" t="str">
        <f t="shared" si="10"/>
        <v/>
      </c>
      <c r="Z65" s="22"/>
    </row>
    <row r="66" spans="5:26" x14ac:dyDescent="0.25">
      <c r="E66" s="25" t="str">
        <f t="shared" si="11"/>
        <v xml:space="preserve"> </v>
      </c>
      <c r="F66" s="26" t="str">
        <f t="shared" si="12"/>
        <v xml:space="preserve"> </v>
      </c>
      <c r="G66" s="27" t="str">
        <f t="shared" si="13"/>
        <v xml:space="preserve"> </v>
      </c>
      <c r="H66" s="28" t="str">
        <f t="shared" si="0"/>
        <v xml:space="preserve"> </v>
      </c>
      <c r="I66" s="3" t="str">
        <f t="shared" si="14"/>
        <v xml:space="preserve"> </v>
      </c>
      <c r="J66" s="3" t="str">
        <f t="shared" si="1"/>
        <v xml:space="preserve"> </v>
      </c>
      <c r="K66" s="3" t="str">
        <f t="shared" si="15"/>
        <v/>
      </c>
      <c r="L66" s="30" t="str">
        <f t="shared" si="26"/>
        <v/>
      </c>
      <c r="M66" s="29" t="str">
        <f t="shared" si="16"/>
        <v/>
      </c>
      <c r="N66" s="29" t="str">
        <f t="shared" si="17"/>
        <v/>
      </c>
      <c r="O66" s="29" t="str">
        <f t="shared" si="3"/>
        <v/>
      </c>
      <c r="P66" s="29" t="str">
        <f t="shared" si="4"/>
        <v/>
      </c>
      <c r="Q66" s="29" t="str">
        <f t="shared" si="5"/>
        <v/>
      </c>
      <c r="R66" s="23" t="str">
        <f t="shared" si="6"/>
        <v/>
      </c>
      <c r="S66" s="5" t="str">
        <f t="shared" si="18"/>
        <v/>
      </c>
      <c r="T66" s="5" t="str">
        <f t="shared" si="19"/>
        <v/>
      </c>
      <c r="U66" s="5" t="str">
        <f t="shared" si="20"/>
        <v/>
      </c>
      <c r="V66" s="4" t="str">
        <f t="shared" si="25"/>
        <v xml:space="preserve"> </v>
      </c>
      <c r="W66" s="6" t="str">
        <f t="shared" si="8"/>
        <v xml:space="preserve"> </v>
      </c>
      <c r="X66" s="22" t="str">
        <f t="shared" si="9"/>
        <v/>
      </c>
      <c r="Y66" s="22" t="str">
        <f t="shared" si="10"/>
        <v/>
      </c>
      <c r="Z66" s="22"/>
    </row>
    <row r="67" spans="5:26" x14ac:dyDescent="0.25">
      <c r="E67" s="25" t="str">
        <f t="shared" si="11"/>
        <v xml:space="preserve"> </v>
      </c>
      <c r="F67" s="26" t="str">
        <f t="shared" si="12"/>
        <v xml:space="preserve"> </v>
      </c>
      <c r="G67" s="27" t="str">
        <f t="shared" si="13"/>
        <v xml:space="preserve"> </v>
      </c>
      <c r="H67" s="28" t="str">
        <f t="shared" si="0"/>
        <v xml:space="preserve"> </v>
      </c>
      <c r="I67" s="3" t="str">
        <f t="shared" si="14"/>
        <v xml:space="preserve"> </v>
      </c>
      <c r="J67" s="3" t="str">
        <f t="shared" si="1"/>
        <v xml:space="preserve"> </v>
      </c>
      <c r="K67" s="3" t="str">
        <f t="shared" si="15"/>
        <v/>
      </c>
      <c r="L67" s="30" t="str">
        <f t="shared" si="26"/>
        <v/>
      </c>
      <c r="M67" s="29" t="str">
        <f t="shared" si="16"/>
        <v/>
      </c>
      <c r="N67" s="29" t="str">
        <f t="shared" si="17"/>
        <v/>
      </c>
      <c r="O67" s="29" t="str">
        <f t="shared" si="3"/>
        <v/>
      </c>
      <c r="P67" s="29" t="str">
        <f t="shared" si="4"/>
        <v/>
      </c>
      <c r="Q67" s="29" t="str">
        <f t="shared" si="5"/>
        <v/>
      </c>
      <c r="R67" s="23" t="str">
        <f t="shared" si="6"/>
        <v/>
      </c>
      <c r="S67" s="5" t="str">
        <f t="shared" si="18"/>
        <v/>
      </c>
      <c r="T67" s="5" t="str">
        <f t="shared" si="19"/>
        <v/>
      </c>
      <c r="U67" s="5" t="str">
        <f t="shared" si="20"/>
        <v/>
      </c>
      <c r="V67" s="4" t="str">
        <f t="shared" si="25"/>
        <v xml:space="preserve"> </v>
      </c>
      <c r="W67" s="6" t="str">
        <f t="shared" si="8"/>
        <v xml:space="preserve"> </v>
      </c>
      <c r="X67" s="22" t="str">
        <f t="shared" si="9"/>
        <v/>
      </c>
      <c r="Y67" s="22" t="str">
        <f t="shared" si="10"/>
        <v/>
      </c>
      <c r="Z67" s="22"/>
    </row>
    <row r="68" spans="5:26" x14ac:dyDescent="0.25">
      <c r="E68" s="25" t="str">
        <f t="shared" si="11"/>
        <v xml:space="preserve"> </v>
      </c>
      <c r="F68" s="26" t="str">
        <f t="shared" si="12"/>
        <v xml:space="preserve"> </v>
      </c>
      <c r="G68" s="27" t="str">
        <f t="shared" si="13"/>
        <v xml:space="preserve"> </v>
      </c>
      <c r="H68" s="28" t="str">
        <f t="shared" ref="H68:H69" si="27">IFERROR(IF(E68=" "," ",IF($E68&lt;=$C$16,$G68*$C$14/IF(DAY(DATE(MID(F68,7,4),3,0))=29,366,365),$G68*$C$15/IF(DAY(DATE(MID(F68,7,4),3,0))=29,366,365))),"")</f>
        <v xml:space="preserve"> </v>
      </c>
      <c r="I68" s="3" t="str">
        <f t="shared" si="14"/>
        <v xml:space="preserve"> </v>
      </c>
      <c r="J68" s="3" t="str">
        <f t="shared" ref="J68:J69" si="28">IFERROR(IF($C$18=" "," ",1/(1+I68))," ")</f>
        <v xml:space="preserve"> </v>
      </c>
      <c r="K68" s="3" t="str">
        <f t="shared" si="15"/>
        <v/>
      </c>
      <c r="L68" s="30" t="str">
        <f t="shared" si="26"/>
        <v/>
      </c>
      <c r="M68" s="29" t="str">
        <f t="shared" si="16"/>
        <v/>
      </c>
      <c r="N68" s="29" t="str">
        <f t="shared" si="17"/>
        <v/>
      </c>
      <c r="O68" s="29" t="str">
        <f t="shared" ref="O68:O69" si="29">IFERROR(IF($C$17=E68,M68,TRUNC($C$19-N68,2)),"")</f>
        <v/>
      </c>
      <c r="P68" s="29" t="str">
        <f t="shared" ref="P68:P69" si="30">IF(TRUNC(SUM(N68:O68),2)&lt;=0,"",TRUNC(SUM(N68:O68),2))</f>
        <v/>
      </c>
      <c r="Q68" s="29" t="str">
        <f t="shared" ref="Q68:Q69" si="31">IFERROR(IF($C$12="","",IF(TEXT(MID($C$12,1,2),"")="EX",TRUNC(M68*0.002,2))),"")</f>
        <v/>
      </c>
      <c r="R68" s="23" t="str">
        <f t="shared" ref="R68:R69" si="32">IFERROR(IF(IF(DAY(DATE(MID(F68,7,4),3,0))=29,366,365)=366,"Y","N"),"")</f>
        <v/>
      </c>
      <c r="S68" s="5" t="str">
        <f t="shared" si="18"/>
        <v/>
      </c>
      <c r="T68" s="5" t="str">
        <f t="shared" si="19"/>
        <v/>
      </c>
      <c r="U68" s="5" t="str">
        <f t="shared" si="20"/>
        <v/>
      </c>
      <c r="V68" s="4" t="str">
        <f t="shared" si="25"/>
        <v xml:space="preserve"> </v>
      </c>
      <c r="W68" s="6" t="str">
        <f t="shared" ref="W68:W69" si="33">IFERROR(IF(E68=" "," ",IF($E68&lt;=$C$16,SUM(U68-T68)*$C$14/IF(DAY(DATE(MID(U68,7,4),3,0))=29,366,365),SUM(U68-T68)*$C$15/IF(DAY(DATE(MID(U68,7,4),3,0))=29,366,365))),"")</f>
        <v xml:space="preserve"> </v>
      </c>
      <c r="X68" s="22" t="str">
        <f t="shared" ref="X68:X69" si="34">IFERROR(TRUNC(V68*M68,2),"")</f>
        <v/>
      </c>
      <c r="Y68" s="22" t="str">
        <f t="shared" ref="Y68:Y69" si="35">IFERROR(TRUNC(W68*M68,2),"")</f>
        <v/>
      </c>
      <c r="Z68" s="22"/>
    </row>
    <row r="69" spans="5:26" x14ac:dyDescent="0.25">
      <c r="E69" s="25" t="str">
        <f t="shared" ref="E69" si="36">IFERROR(IF($E68&lt;$C$17,E68+1," "),"")</f>
        <v xml:space="preserve"> </v>
      </c>
      <c r="F69" s="26" t="str">
        <f t="shared" ref="F69" si="37">IFERROR(TEXT(IF($E69&lt;=$C$17,EDATE($F$4,E69 - 1)," "),"DD/MM/YYYY"),"")</f>
        <v xml:space="preserve"> </v>
      </c>
      <c r="G69" s="27" t="str">
        <f t="shared" ref="G69" si="38">IFERROR(IF(E69=" "," ",F69-F68),"")</f>
        <v xml:space="preserve"> </v>
      </c>
      <c r="H69" s="28" t="str">
        <f t="shared" si="27"/>
        <v xml:space="preserve"> </v>
      </c>
      <c r="I69" s="3" t="str">
        <f t="shared" ref="I69" si="39">IFERROR(IF(E69=" "," ",ROUND(I68+H69+(I68*H69),6)),"")</f>
        <v xml:space="preserve"> </v>
      </c>
      <c r="J69" s="3" t="str">
        <f t="shared" si="28"/>
        <v xml:space="preserve"> </v>
      </c>
      <c r="K69" s="3" t="str">
        <f t="shared" ref="K69" si="40">IFERROR(IF($C$18=" "," ",K68+J69),"")</f>
        <v/>
      </c>
      <c r="L69" s="30" t="str">
        <f t="shared" si="26"/>
        <v/>
      </c>
      <c r="M69" s="29" t="str">
        <f t="shared" ref="M69" si="41">IFERROR(IF(IF($M68&gt;0,($M68-$O68)," ")&lt;=0,"",IF($M68&gt;0,($M68-$O68)," ")),"")</f>
        <v/>
      </c>
      <c r="N69" s="29" t="str">
        <f t="shared" ref="N69" si="42">IFERROR(IF(AND(R68="N",R69="Y"),SUM(X69:Y69),IF(AND(R68="Y",R69="N"),SUM(X69:Y69),TRUNC((M69+(0*(-1)))*(H69)+(0*(-1)),2))),"")</f>
        <v/>
      </c>
      <c r="O69" s="29" t="str">
        <f t="shared" si="29"/>
        <v/>
      </c>
      <c r="P69" s="29" t="str">
        <f t="shared" si="30"/>
        <v/>
      </c>
      <c r="Q69" s="29" t="str">
        <f t="shared" si="31"/>
        <v/>
      </c>
      <c r="R69" s="23" t="str">
        <f t="shared" si="32"/>
        <v/>
      </c>
      <c r="S69" s="5" t="str">
        <f t="shared" ref="S69" si="43">TEXT(IF(AND(R68="N",R69="Y"),EDATE($F$4,E69-2),IF(AND(R68="Y",R69="N"),EDATE($F$4,E69-2),"")),"DD/MM/YYYY")</f>
        <v/>
      </c>
      <c r="T69" s="5" t="str">
        <f t="shared" ref="T69" si="44">TEXT(IFERROR(DATE(YEAR(S69),12,31),""),"DD/MM/YYYY")</f>
        <v/>
      </c>
      <c r="U69" s="5" t="str">
        <f t="shared" ref="U69" si="45">TEXT(IFERROR(EDATE($S69,1),""),"DD/MM/YYYY")</f>
        <v/>
      </c>
      <c r="V69" s="4" t="str">
        <f t="shared" si="25"/>
        <v xml:space="preserve"> </v>
      </c>
      <c r="W69" s="6" t="str">
        <f t="shared" si="33"/>
        <v xml:space="preserve"> </v>
      </c>
      <c r="X69" s="22" t="str">
        <f t="shared" si="34"/>
        <v/>
      </c>
      <c r="Y69" s="22" t="str">
        <f t="shared" si="35"/>
        <v/>
      </c>
      <c r="Z69" s="22"/>
    </row>
    <row r="70" spans="5:26" x14ac:dyDescent="0.25">
      <c r="Q70" s="29"/>
    </row>
    <row r="71" spans="5:26" x14ac:dyDescent="0.25">
      <c r="Q71" s="29"/>
    </row>
    <row r="72" spans="5:26" x14ac:dyDescent="0.25">
      <c r="Q72" s="29"/>
    </row>
  </sheetData>
  <sheetProtection algorithmName="SHA-512" hashValue="3XOOSUMyHH/jkw8XYRAaB6EdxhA6WW4ft3F66FIqKbL5KpUmYAY8QXJ7r/8axqiuLI3RnI9V3UJhCuRtyhIPtQ==" saltValue="XPOeT+CW8K9+T+S+FOD7JA==" spinCount="100000" sheet="1" objects="1" scenarios="1"/>
  <mergeCells count="5">
    <mergeCell ref="E2:P2"/>
    <mergeCell ref="AA3:AI3"/>
    <mergeCell ref="AK3:AN3"/>
    <mergeCell ref="B5:C5"/>
    <mergeCell ref="B9:C9"/>
  </mergeCells>
  <conditionalFormatting sqref="R4">
    <cfRule type="cellIs" dxfId="42" priority="6" operator="equal">
      <formula>"Y"</formula>
    </cfRule>
  </conditionalFormatting>
  <conditionalFormatting sqref="M4:R4 Q70:Q72 R5:R69 M5:P5 M10:M69 O10:P69 M6:M8 O6:P8 N6:N69">
    <cfRule type="cellIs" dxfId="41" priority="5" operator="equal">
      <formula>"Y"</formula>
    </cfRule>
  </conditionalFormatting>
  <conditionalFormatting sqref="M9 O9:P9">
    <cfRule type="cellIs" dxfId="40" priority="4" operator="equal">
      <formula>"Y"</formula>
    </cfRule>
  </conditionalFormatting>
  <conditionalFormatting sqref="Q5:Q69">
    <cfRule type="cellIs" dxfId="39" priority="3" operator="equal">
      <formula>"Y"</formula>
    </cfRule>
  </conditionalFormatting>
  <conditionalFormatting sqref="AK4:AN63">
    <cfRule type="cellIs" dxfId="38" priority="1" operator="greaterThan">
      <formula>0</formula>
    </cfRule>
    <cfRule type="cellIs" dxfId="37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72"/>
  <sheetViews>
    <sheetView showGridLines="0" topLeftCell="D40" zoomScale="85" zoomScaleNormal="85" workbookViewId="0">
      <selection activeCell="P17" sqref="P17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12.7109375" style="1" bestFit="1" customWidth="1"/>
    <col min="18" max="18" width="8" style="22" hidden="1" customWidth="1"/>
    <col min="19" max="19" width="11.7109375" style="1" hidden="1" customWidth="1"/>
    <col min="20" max="20" width="16.140625" style="1" hidden="1" customWidth="1"/>
    <col min="21" max="21" width="11.28515625" style="1" hidden="1" customWidth="1"/>
    <col min="22" max="22" width="8.7109375" style="1" hidden="1" customWidth="1"/>
    <col min="23" max="23" width="12.28515625" style="1" hidden="1" customWidth="1"/>
    <col min="24" max="25" width="6.140625" style="1" hidden="1" customWidth="1"/>
    <col min="26" max="26" width="2.5703125" style="1" customWidth="1"/>
    <col min="27" max="27" width="3.140625" style="1" bestFit="1" customWidth="1"/>
    <col min="28" max="28" width="2.140625" style="1" bestFit="1" customWidth="1"/>
    <col min="29" max="29" width="11" style="1" bestFit="1" customWidth="1"/>
    <col min="30" max="31" width="10.85546875" style="1" bestFit="1" customWidth="1"/>
    <col min="32" max="34" width="9" style="36" bestFit="1" customWidth="1"/>
    <col min="35" max="35" width="8" style="36" bestFit="1" customWidth="1"/>
    <col min="36" max="36" width="2.7109375" style="1" customWidth="1"/>
    <col min="37" max="37" width="11.85546875" style="1" bestFit="1" customWidth="1"/>
    <col min="38" max="16384" width="11.42578125" style="1"/>
  </cols>
  <sheetData>
    <row r="1" spans="2:40" x14ac:dyDescent="0.25">
      <c r="F1" s="1"/>
      <c r="G1" s="1"/>
      <c r="R1" s="1"/>
    </row>
    <row r="2" spans="2:40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3"/>
      <c r="R2" s="24"/>
      <c r="S2" s="24"/>
      <c r="T2" s="24"/>
      <c r="U2" s="24"/>
      <c r="V2" s="24"/>
      <c r="W2" s="24"/>
      <c r="X2" s="24"/>
      <c r="Y2" s="24"/>
      <c r="Z2" s="35"/>
    </row>
    <row r="3" spans="2:40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0" t="s">
        <v>22</v>
      </c>
      <c r="Q3" s="21" t="s">
        <v>32</v>
      </c>
      <c r="R3" s="19" t="s">
        <v>23</v>
      </c>
      <c r="S3" s="20" t="s">
        <v>24</v>
      </c>
      <c r="T3" s="20" t="s">
        <v>25</v>
      </c>
      <c r="U3" s="20" t="s">
        <v>26</v>
      </c>
      <c r="V3" s="20" t="s">
        <v>27</v>
      </c>
      <c r="W3" s="20" t="s">
        <v>28</v>
      </c>
      <c r="X3" s="20" t="s">
        <v>29</v>
      </c>
      <c r="Y3" s="21" t="s">
        <v>30</v>
      </c>
      <c r="Z3" s="22"/>
      <c r="AA3" s="40" t="s">
        <v>40</v>
      </c>
      <c r="AB3" s="41"/>
      <c r="AC3" s="41"/>
      <c r="AD3" s="41"/>
      <c r="AE3" s="41"/>
      <c r="AF3" s="41"/>
      <c r="AG3" s="41"/>
      <c r="AH3" s="41"/>
      <c r="AI3" s="42"/>
      <c r="AK3" s="40" t="s">
        <v>39</v>
      </c>
      <c r="AL3" s="41"/>
      <c r="AM3" s="41"/>
      <c r="AN3" s="42"/>
    </row>
    <row r="4" spans="2:40" x14ac:dyDescent="0.25">
      <c r="E4" s="25">
        <f>IFERROR(IF($C$18&gt;0,1," "),"")</f>
        <v>1</v>
      </c>
      <c r="F4" s="26" t="str">
        <f>IFERROR(IF(C18&gt;0,TEXT(IF($E$4&gt;0,C18," "),"DD/MM/YYYY")," "),"")</f>
        <v>20/11/2019</v>
      </c>
      <c r="G4" s="27" t="str">
        <f>IFERROR(IF(E4=" "," ",F4-$C$11),"")</f>
        <v/>
      </c>
      <c r="H4" s="28" t="str">
        <f t="shared" ref="H4:H67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67" si="1">IFERROR(IF($C$18=" "," ",1/(1+I4))," ")</f>
        <v xml:space="preserve"> </v>
      </c>
      <c r="K4" s="3" t="str">
        <f>IFERROR(IF($C$18=" "," ",L1+J4),"")</f>
        <v/>
      </c>
      <c r="L4" s="30" t="str">
        <f t="shared" ref="L4:L63" si="2">IFERROR(TRUNC(IF($C$18=" "," ",$C$13/K4),2),"")</f>
        <v/>
      </c>
      <c r="M4" s="29">
        <f>IFERROR(IF(C13&gt;0,C13," "),"")</f>
        <v>800</v>
      </c>
      <c r="N4" s="29" t="str">
        <f>IFERROR(IF(AND(R2="N",R4="Y"),SUM(X4:Y4),IF(AND(R2="Y",R4="N"),SUM(X4:Y4),TRUNC((M4+(0*(-1)))*(H4)+(0*(-1)),2))),"")</f>
        <v/>
      </c>
      <c r="O4" s="29" t="str">
        <f t="shared" ref="O4:O67" si="3">IFERROR(IF($C$17=E4,M4,TRUNC($C$19-N4,2)),"")</f>
        <v/>
      </c>
      <c r="P4" s="29" t="str">
        <f t="shared" ref="P4:P67" si="4">IF(TRUNC(SUM(N4:O4),2)&lt;=0,"",TRUNC(SUM(N4:O4),2))</f>
        <v/>
      </c>
      <c r="Q4" s="29">
        <f t="shared" ref="Q4:Q67" si="5">IFERROR(IF($C$12="","",IF(TEXT(MID($C$12,1,2),"")="EX",TRUNC(M4*0.002,2))),"")</f>
        <v>1.6</v>
      </c>
      <c r="R4" s="23" t="str">
        <f t="shared" ref="R4:R67" si="6">IFERROR(IF(IF(DAY(DATE(MID(F4,7,4),3,0))=29,366,365)=366,"Y","N"),"")</f>
        <v>N</v>
      </c>
      <c r="S4" s="5" t="str">
        <f>TEXT(IF(AND(R2="N",R4="Y"),EDATE($F$4,E4-2),IF(AND(R2="Y",R4="N"),EDATE($F$4,E4-2),"")),"DD/MM/YYYY")</f>
        <v/>
      </c>
      <c r="T4" s="5" t="str">
        <f>TEXT(IFERROR(DATE(YEAR(S4),12,31),""),"DD/MM/YYYY")</f>
        <v/>
      </c>
      <c r="U4" s="5" t="str">
        <f>TEXT(IFERROR(EDATE($S4,1),""),"DD/MM/YYYY")</f>
        <v/>
      </c>
      <c r="V4" s="4" t="str">
        <f t="shared" ref="V4:V35" si="7">IFERROR(IF(E4=" "," ",IF($E4&lt;=$C$16,SUM(T4-S4)*$C$14/IF(DAY(DATE(MID(T4,7,4),3,0))=29,366,365),SUM(T4-S4)*$C$15/IF(DAY(DATE(MID(T4,7,4),3,0))=29,366,365))),"")</f>
        <v/>
      </c>
      <c r="W4" s="6" t="str">
        <f t="shared" ref="W4:W67" si="8">IFERROR(IF(E4=" "," ",IF($E4&lt;=$C$16,SUM(U4-T4)*$C$14/IF(DAY(DATE(MID(U4,7,4),3,0))=29,366,365),SUM(U4-T4)*$C$15/IF(DAY(DATE(MID(U4,7,4),3,0))=29,366,365))),"")</f>
        <v/>
      </c>
      <c r="X4" s="22" t="str">
        <f t="shared" ref="X4:X67" si="9">IFERROR(TRUNC(V4*M4,2),"")</f>
        <v/>
      </c>
      <c r="Y4" s="22" t="str">
        <f t="shared" ref="Y4:Y67" si="10">IFERROR(TRUNC(W4*M4,2),"")</f>
        <v/>
      </c>
      <c r="Z4" s="22"/>
      <c r="AA4" s="1">
        <v>1</v>
      </c>
      <c r="AB4" s="1">
        <v>1</v>
      </c>
      <c r="AC4" s="1" t="s">
        <v>38</v>
      </c>
      <c r="AD4" s="2">
        <v>43789</v>
      </c>
      <c r="AE4" s="2">
        <v>43780</v>
      </c>
      <c r="AF4" s="36">
        <v>28.74</v>
      </c>
      <c r="AG4" s="36">
        <v>21.47</v>
      </c>
      <c r="AH4" s="36">
        <v>7.27</v>
      </c>
      <c r="AI4" s="36">
        <v>1.6</v>
      </c>
      <c r="AK4" s="34" t="e">
        <f>AF4-P4</f>
        <v>#VALUE!</v>
      </c>
      <c r="AL4" s="34" t="e">
        <f>AG4-O4</f>
        <v>#VALUE!</v>
      </c>
      <c r="AM4" s="34" t="e">
        <f>N4-AH4</f>
        <v>#VALUE!</v>
      </c>
      <c r="AN4" s="34">
        <f>+Q4-AI4</f>
        <v>0</v>
      </c>
    </row>
    <row r="5" spans="2:40" x14ac:dyDescent="0.25">
      <c r="B5" s="37" t="s">
        <v>0</v>
      </c>
      <c r="C5" s="38"/>
      <c r="E5" s="25">
        <f t="shared" ref="E5:E68" si="11">IFERROR(IF($E4&lt;$C$17,E4+1," "),"")</f>
        <v>2</v>
      </c>
      <c r="F5" s="26" t="str">
        <f t="shared" ref="F5:F68" si="12">IFERROR(TEXT(IF($E5&lt;=$C$17,EDATE($F$4,E5 - 1)," "),"DD/MM/YYYY"),"")</f>
        <v/>
      </c>
      <c r="G5" s="27" t="str">
        <f t="shared" ref="G5:G68" si="13">IFERROR(IF(E5=" "," ",F5-F4),"")</f>
        <v/>
      </c>
      <c r="H5" s="28" t="str">
        <f t="shared" si="0"/>
        <v/>
      </c>
      <c r="I5" s="3" t="str">
        <f t="shared" ref="I5:I68" si="14">IFERROR(IF(E5=" "," ",ROUND(I4+H5+(I4*H5),6)),"")</f>
        <v/>
      </c>
      <c r="J5" s="3" t="str">
        <f t="shared" si="1"/>
        <v xml:space="preserve"> </v>
      </c>
      <c r="K5" s="3" t="str">
        <f t="shared" ref="K5:K68" si="15">IFERROR(IF($C$18=" "," ",K4+J5),"")</f>
        <v/>
      </c>
      <c r="L5" s="30" t="str">
        <f t="shared" si="2"/>
        <v/>
      </c>
      <c r="M5" s="29" t="str">
        <f t="shared" ref="M5:M68" si="16">IFERROR(IF(IF($M4&gt;0,($M4-$O4)," ")&lt;=0,"",IF($M4&gt;0,($M4-$O4)," ")),"")</f>
        <v/>
      </c>
      <c r="N5" s="29" t="str">
        <f t="shared" ref="N5:N68" si="17">IFERROR(IF(AND(R4="N",R5="Y"),SUM(X5:Y5),IF(AND(R4="Y",R5="N"),SUM(X5:Y5),TRUNC((M5+(0*(-1)))*(H5)+(0*(-1)),2))),"")</f>
        <v/>
      </c>
      <c r="O5" s="29" t="str">
        <f t="shared" si="3"/>
        <v/>
      </c>
      <c r="P5" s="29" t="str">
        <f t="shared" si="4"/>
        <v/>
      </c>
      <c r="Q5" s="29" t="str">
        <f t="shared" si="5"/>
        <v/>
      </c>
      <c r="R5" s="23" t="str">
        <f t="shared" si="6"/>
        <v/>
      </c>
      <c r="S5" s="5" t="str">
        <f t="shared" ref="S5:S68" si="18">TEXT(IF(AND(R4="N",R5="Y"),EDATE($F$4,E5-2),IF(AND(R4="Y",R5="N"),EDATE($F$4,E5-2),"")),"DD/MM/YYYY")</f>
        <v/>
      </c>
      <c r="T5" s="5" t="str">
        <f t="shared" ref="T5:T68" si="19">TEXT(IFERROR(DATE(YEAR(S5),12,31),""),"DD/MM/YYYY")</f>
        <v/>
      </c>
      <c r="U5" s="5" t="str">
        <f t="shared" ref="U5:U68" si="20">TEXT(IFERROR(EDATE($S5,1),""),"DD/MM/YYYY")</f>
        <v/>
      </c>
      <c r="V5" s="4" t="str">
        <f t="shared" si="7"/>
        <v/>
      </c>
      <c r="W5" s="6" t="str">
        <f t="shared" si="8"/>
        <v/>
      </c>
      <c r="X5" s="22" t="str">
        <f t="shared" si="9"/>
        <v/>
      </c>
      <c r="Y5" s="22" t="str">
        <f t="shared" si="10"/>
        <v/>
      </c>
      <c r="Z5" s="22"/>
      <c r="AA5" s="1">
        <v>2</v>
      </c>
      <c r="AB5" s="1">
        <v>1</v>
      </c>
      <c r="AC5" s="1" t="s">
        <v>38</v>
      </c>
      <c r="AD5" s="2">
        <v>43819</v>
      </c>
      <c r="AE5" s="2">
        <v>43780</v>
      </c>
      <c r="AF5" s="36">
        <v>28.74</v>
      </c>
      <c r="AG5" s="36">
        <v>5.13</v>
      </c>
      <c r="AH5" s="36">
        <v>23.61</v>
      </c>
      <c r="AI5" s="36">
        <v>1.55</v>
      </c>
      <c r="AK5" s="34" t="e">
        <f t="shared" ref="AK5:AK63" si="21">AF5-P5</f>
        <v>#VALUE!</v>
      </c>
      <c r="AL5" s="34" t="e">
        <f t="shared" ref="AL5:AL63" si="22">AG5-O5</f>
        <v>#VALUE!</v>
      </c>
      <c r="AM5" s="34" t="e">
        <f t="shared" ref="AM5:AM63" si="23">N5-AH5</f>
        <v>#VALUE!</v>
      </c>
      <c r="AN5" s="34" t="e">
        <f t="shared" ref="AN5:AN63" si="24">+Q5-AI5</f>
        <v>#VALUE!</v>
      </c>
    </row>
    <row r="6" spans="2:40" x14ac:dyDescent="0.25">
      <c r="E6" s="25">
        <f t="shared" si="11"/>
        <v>3</v>
      </c>
      <c r="F6" s="26" t="str">
        <f t="shared" si="12"/>
        <v/>
      </c>
      <c r="G6" s="27" t="str">
        <f t="shared" si="13"/>
        <v/>
      </c>
      <c r="H6" s="28" t="str">
        <f t="shared" si="0"/>
        <v/>
      </c>
      <c r="I6" s="3" t="str">
        <f t="shared" si="14"/>
        <v/>
      </c>
      <c r="J6" s="3" t="str">
        <f t="shared" si="1"/>
        <v xml:space="preserve"> </v>
      </c>
      <c r="K6" s="3" t="str">
        <f t="shared" si="15"/>
        <v/>
      </c>
      <c r="L6" s="30" t="str">
        <f t="shared" si="2"/>
        <v/>
      </c>
      <c r="M6" s="29" t="str">
        <f t="shared" si="16"/>
        <v/>
      </c>
      <c r="N6" s="29" t="str">
        <f t="shared" si="17"/>
        <v/>
      </c>
      <c r="O6" s="29" t="str">
        <f t="shared" si="3"/>
        <v/>
      </c>
      <c r="P6" s="29" t="str">
        <f t="shared" si="4"/>
        <v/>
      </c>
      <c r="Q6" s="29" t="str">
        <f t="shared" si="5"/>
        <v/>
      </c>
      <c r="R6" s="23" t="str">
        <f t="shared" si="6"/>
        <v/>
      </c>
      <c r="S6" s="5" t="str">
        <f t="shared" si="18"/>
        <v/>
      </c>
      <c r="T6" s="5" t="str">
        <f t="shared" si="19"/>
        <v/>
      </c>
      <c r="U6" s="5" t="str">
        <f t="shared" si="20"/>
        <v/>
      </c>
      <c r="V6" s="4" t="str">
        <f t="shared" si="7"/>
        <v/>
      </c>
      <c r="W6" s="6" t="str">
        <f t="shared" si="8"/>
        <v/>
      </c>
      <c r="X6" s="22" t="str">
        <f t="shared" si="9"/>
        <v/>
      </c>
      <c r="Y6" s="22" t="str">
        <f t="shared" si="10"/>
        <v/>
      </c>
      <c r="Z6" s="22"/>
      <c r="AA6" s="1">
        <v>3</v>
      </c>
      <c r="AB6" s="1">
        <v>1</v>
      </c>
      <c r="AC6" s="1" t="s">
        <v>38</v>
      </c>
      <c r="AD6" s="2">
        <v>43850</v>
      </c>
      <c r="AE6" s="2">
        <v>43780</v>
      </c>
      <c r="AF6" s="36">
        <v>28.74</v>
      </c>
      <c r="AG6" s="36">
        <v>4.55</v>
      </c>
      <c r="AH6" s="36">
        <v>24.19</v>
      </c>
      <c r="AI6" s="36">
        <v>1.54</v>
      </c>
      <c r="AK6" s="34" t="e">
        <f t="shared" si="21"/>
        <v>#VALUE!</v>
      </c>
      <c r="AL6" s="34" t="e">
        <f t="shared" si="22"/>
        <v>#VALUE!</v>
      </c>
      <c r="AM6" s="34" t="e">
        <f t="shared" si="23"/>
        <v>#VALUE!</v>
      </c>
      <c r="AN6" s="34" t="e">
        <f t="shared" si="24"/>
        <v>#VALUE!</v>
      </c>
    </row>
    <row r="7" spans="2:40" x14ac:dyDescent="0.25">
      <c r="B7" s="18" t="s">
        <v>16</v>
      </c>
      <c r="C7" s="17" t="s">
        <v>44</v>
      </c>
      <c r="E7" s="25">
        <f t="shared" si="11"/>
        <v>4</v>
      </c>
      <c r="F7" s="26" t="str">
        <f t="shared" si="12"/>
        <v/>
      </c>
      <c r="G7" s="27" t="str">
        <f t="shared" si="13"/>
        <v/>
      </c>
      <c r="H7" s="28" t="str">
        <f t="shared" si="0"/>
        <v/>
      </c>
      <c r="I7" s="3" t="str">
        <f t="shared" si="14"/>
        <v/>
      </c>
      <c r="J7" s="3" t="str">
        <f t="shared" si="1"/>
        <v xml:space="preserve"> </v>
      </c>
      <c r="K7" s="3" t="str">
        <f t="shared" si="15"/>
        <v/>
      </c>
      <c r="L7" s="30" t="str">
        <f t="shared" si="2"/>
        <v/>
      </c>
      <c r="M7" s="29" t="str">
        <f t="shared" si="16"/>
        <v/>
      </c>
      <c r="N7" s="29" t="str">
        <f t="shared" si="17"/>
        <v/>
      </c>
      <c r="O7" s="29" t="str">
        <f t="shared" si="3"/>
        <v/>
      </c>
      <c r="P7" s="29" t="str">
        <f t="shared" si="4"/>
        <v/>
      </c>
      <c r="Q7" s="29" t="str">
        <f t="shared" si="5"/>
        <v/>
      </c>
      <c r="R7" s="23" t="str">
        <f t="shared" si="6"/>
        <v/>
      </c>
      <c r="S7" s="5" t="str">
        <f t="shared" si="18"/>
        <v/>
      </c>
      <c r="T7" s="5" t="str">
        <f t="shared" si="19"/>
        <v/>
      </c>
      <c r="U7" s="5" t="str">
        <f t="shared" si="20"/>
        <v/>
      </c>
      <c r="V7" s="4" t="str">
        <f t="shared" si="7"/>
        <v/>
      </c>
      <c r="W7" s="6" t="str">
        <f t="shared" si="8"/>
        <v/>
      </c>
      <c r="X7" s="22" t="str">
        <f t="shared" si="9"/>
        <v/>
      </c>
      <c r="Y7" s="22" t="str">
        <f t="shared" si="10"/>
        <v/>
      </c>
      <c r="Z7" s="22"/>
      <c r="AA7" s="1">
        <v>4</v>
      </c>
      <c r="AB7" s="1">
        <v>1</v>
      </c>
      <c r="AC7" s="1" t="s">
        <v>38</v>
      </c>
      <c r="AD7" s="2">
        <v>43881</v>
      </c>
      <c r="AE7" s="2">
        <v>43780</v>
      </c>
      <c r="AF7" s="36">
        <v>28.74</v>
      </c>
      <c r="AG7" s="36">
        <v>4.72</v>
      </c>
      <c r="AH7" s="36">
        <v>24.02</v>
      </c>
      <c r="AI7" s="36">
        <v>1.53</v>
      </c>
      <c r="AK7" s="34" t="e">
        <f t="shared" si="21"/>
        <v>#VALUE!</v>
      </c>
      <c r="AL7" s="34" t="e">
        <f t="shared" si="22"/>
        <v>#VALUE!</v>
      </c>
      <c r="AM7" s="34" t="e">
        <f t="shared" si="23"/>
        <v>#VALUE!</v>
      </c>
      <c r="AN7" s="34" t="e">
        <f t="shared" si="24"/>
        <v>#VALUE!</v>
      </c>
    </row>
    <row r="8" spans="2:40" x14ac:dyDescent="0.25">
      <c r="E8" s="25">
        <f t="shared" si="11"/>
        <v>5</v>
      </c>
      <c r="F8" s="26" t="str">
        <f t="shared" si="12"/>
        <v/>
      </c>
      <c r="G8" s="27" t="str">
        <f t="shared" si="13"/>
        <v/>
      </c>
      <c r="H8" s="28" t="str">
        <f t="shared" si="0"/>
        <v/>
      </c>
      <c r="I8" s="3" t="str">
        <f t="shared" si="14"/>
        <v/>
      </c>
      <c r="J8" s="3" t="str">
        <f t="shared" si="1"/>
        <v xml:space="preserve"> </v>
      </c>
      <c r="K8" s="3" t="str">
        <f t="shared" si="15"/>
        <v/>
      </c>
      <c r="L8" s="30" t="str">
        <f t="shared" si="2"/>
        <v/>
      </c>
      <c r="M8" s="29" t="str">
        <f t="shared" si="16"/>
        <v/>
      </c>
      <c r="N8" s="29" t="str">
        <f t="shared" si="17"/>
        <v/>
      </c>
      <c r="O8" s="29" t="str">
        <f t="shared" si="3"/>
        <v/>
      </c>
      <c r="P8" s="29" t="str">
        <f t="shared" si="4"/>
        <v/>
      </c>
      <c r="Q8" s="29" t="str">
        <f t="shared" si="5"/>
        <v/>
      </c>
      <c r="R8" s="23" t="str">
        <f t="shared" si="6"/>
        <v/>
      </c>
      <c r="S8" s="5" t="str">
        <f t="shared" si="18"/>
        <v/>
      </c>
      <c r="T8" s="5" t="str">
        <f t="shared" si="19"/>
        <v/>
      </c>
      <c r="U8" s="5" t="str">
        <f t="shared" si="20"/>
        <v/>
      </c>
      <c r="V8" s="4" t="str">
        <f t="shared" si="7"/>
        <v/>
      </c>
      <c r="W8" s="6" t="str">
        <f t="shared" si="8"/>
        <v/>
      </c>
      <c r="X8" s="22" t="str">
        <f t="shared" si="9"/>
        <v/>
      </c>
      <c r="Y8" s="22" t="str">
        <f t="shared" si="10"/>
        <v/>
      </c>
      <c r="Z8" s="22"/>
      <c r="AA8" s="1">
        <v>5</v>
      </c>
      <c r="AB8" s="1">
        <v>1</v>
      </c>
      <c r="AC8" s="1" t="s">
        <v>38</v>
      </c>
      <c r="AD8" s="2">
        <v>43910</v>
      </c>
      <c r="AE8" s="2">
        <v>43780</v>
      </c>
      <c r="AF8" s="36">
        <v>28.74</v>
      </c>
      <c r="AG8" s="36">
        <v>6.4</v>
      </c>
      <c r="AH8" s="36">
        <v>22.34</v>
      </c>
      <c r="AI8" s="36">
        <v>1.52</v>
      </c>
      <c r="AK8" s="34" t="e">
        <f t="shared" si="21"/>
        <v>#VALUE!</v>
      </c>
      <c r="AL8" s="34" t="e">
        <f t="shared" si="22"/>
        <v>#VALUE!</v>
      </c>
      <c r="AM8" s="34" t="e">
        <f t="shared" si="23"/>
        <v>#VALUE!</v>
      </c>
      <c r="AN8" s="34" t="e">
        <f t="shared" si="24"/>
        <v>#VALUE!</v>
      </c>
    </row>
    <row r="9" spans="2:40" x14ac:dyDescent="0.25">
      <c r="B9" s="37" t="s">
        <v>15</v>
      </c>
      <c r="C9" s="38"/>
      <c r="E9" s="25">
        <f t="shared" si="11"/>
        <v>6</v>
      </c>
      <c r="F9" s="26" t="str">
        <f t="shared" si="12"/>
        <v/>
      </c>
      <c r="G9" s="27" t="str">
        <f t="shared" si="13"/>
        <v/>
      </c>
      <c r="H9" s="28" t="str">
        <f t="shared" si="0"/>
        <v/>
      </c>
      <c r="I9" s="3" t="str">
        <f t="shared" si="14"/>
        <v/>
      </c>
      <c r="J9" s="3" t="str">
        <f t="shared" si="1"/>
        <v xml:space="preserve"> </v>
      </c>
      <c r="K9" s="3" t="str">
        <f t="shared" si="15"/>
        <v/>
      </c>
      <c r="L9" s="30" t="str">
        <f t="shared" si="2"/>
        <v/>
      </c>
      <c r="M9" s="29" t="str">
        <f t="shared" si="16"/>
        <v/>
      </c>
      <c r="N9" s="29" t="str">
        <f t="shared" si="17"/>
        <v/>
      </c>
      <c r="O9" s="29" t="str">
        <f t="shared" si="3"/>
        <v/>
      </c>
      <c r="P9" s="29" t="str">
        <f t="shared" si="4"/>
        <v/>
      </c>
      <c r="Q9" s="29" t="str">
        <f t="shared" si="5"/>
        <v/>
      </c>
      <c r="R9" s="23" t="str">
        <f t="shared" si="6"/>
        <v/>
      </c>
      <c r="S9" s="5" t="str">
        <f t="shared" si="18"/>
        <v/>
      </c>
      <c r="T9" s="5" t="str">
        <f t="shared" si="19"/>
        <v/>
      </c>
      <c r="U9" s="5" t="str">
        <f t="shared" si="20"/>
        <v/>
      </c>
      <c r="V9" s="4" t="str">
        <f t="shared" si="7"/>
        <v/>
      </c>
      <c r="W9" s="6" t="str">
        <f t="shared" si="8"/>
        <v/>
      </c>
      <c r="X9" s="22" t="str">
        <f t="shared" si="9"/>
        <v/>
      </c>
      <c r="Y9" s="22" t="str">
        <f t="shared" si="10"/>
        <v/>
      </c>
      <c r="Z9" s="22"/>
      <c r="AA9" s="1">
        <v>6</v>
      </c>
      <c r="AB9" s="1">
        <v>1</v>
      </c>
      <c r="AC9" s="1" t="s">
        <v>38</v>
      </c>
      <c r="AD9" s="2">
        <v>43941</v>
      </c>
      <c r="AE9" s="2">
        <v>43780</v>
      </c>
      <c r="AF9" s="36">
        <v>28.74</v>
      </c>
      <c r="AG9" s="36">
        <v>5.0599999999999996</v>
      </c>
      <c r="AH9" s="36">
        <v>23.68</v>
      </c>
      <c r="AI9" s="36">
        <v>1.51</v>
      </c>
      <c r="AK9" s="34" t="e">
        <f t="shared" si="21"/>
        <v>#VALUE!</v>
      </c>
      <c r="AL9" s="34" t="e">
        <f t="shared" si="22"/>
        <v>#VALUE!</v>
      </c>
      <c r="AM9" s="34" t="e">
        <f t="shared" si="23"/>
        <v>#VALUE!</v>
      </c>
      <c r="AN9" s="34" t="e">
        <f t="shared" si="24"/>
        <v>#VALUE!</v>
      </c>
    </row>
    <row r="10" spans="2:40" x14ac:dyDescent="0.25">
      <c r="E10" s="25">
        <f t="shared" si="11"/>
        <v>7</v>
      </c>
      <c r="F10" s="26" t="str">
        <f t="shared" si="12"/>
        <v/>
      </c>
      <c r="G10" s="27" t="str">
        <f t="shared" si="13"/>
        <v/>
      </c>
      <c r="H10" s="28" t="str">
        <f t="shared" si="0"/>
        <v/>
      </c>
      <c r="I10" s="3" t="str">
        <f t="shared" si="14"/>
        <v/>
      </c>
      <c r="J10" s="3" t="str">
        <f t="shared" si="1"/>
        <v xml:space="preserve"> </v>
      </c>
      <c r="K10" s="3" t="str">
        <f t="shared" si="15"/>
        <v/>
      </c>
      <c r="L10" s="30" t="str">
        <f t="shared" si="2"/>
        <v/>
      </c>
      <c r="M10" s="29" t="str">
        <f t="shared" si="16"/>
        <v/>
      </c>
      <c r="N10" s="29" t="str">
        <f t="shared" si="17"/>
        <v/>
      </c>
      <c r="O10" s="29" t="str">
        <f t="shared" si="3"/>
        <v/>
      </c>
      <c r="P10" s="29" t="str">
        <f t="shared" si="4"/>
        <v/>
      </c>
      <c r="Q10" s="29" t="str">
        <f t="shared" si="5"/>
        <v/>
      </c>
      <c r="R10" s="23" t="str">
        <f t="shared" si="6"/>
        <v/>
      </c>
      <c r="S10" s="5" t="str">
        <f t="shared" si="18"/>
        <v/>
      </c>
      <c r="T10" s="5" t="str">
        <f t="shared" si="19"/>
        <v/>
      </c>
      <c r="U10" s="5" t="str">
        <f t="shared" si="20"/>
        <v/>
      </c>
      <c r="V10" s="4" t="str">
        <f t="shared" si="7"/>
        <v/>
      </c>
      <c r="W10" s="6" t="str">
        <f t="shared" si="8"/>
        <v/>
      </c>
      <c r="X10" s="22" t="str">
        <f t="shared" si="9"/>
        <v/>
      </c>
      <c r="Y10" s="22" t="str">
        <f t="shared" si="10"/>
        <v/>
      </c>
      <c r="Z10" s="22"/>
      <c r="AA10" s="1">
        <v>7</v>
      </c>
      <c r="AB10" s="1">
        <v>1</v>
      </c>
      <c r="AC10" s="1" t="s">
        <v>38</v>
      </c>
      <c r="AD10" s="2">
        <v>43971</v>
      </c>
      <c r="AE10" s="2">
        <v>43780</v>
      </c>
      <c r="AF10" s="36">
        <v>28.74</v>
      </c>
      <c r="AG10" s="36">
        <v>5.98</v>
      </c>
      <c r="AH10" s="36">
        <v>22.76</v>
      </c>
      <c r="AI10" s="36">
        <v>1.5</v>
      </c>
      <c r="AK10" s="34" t="e">
        <f t="shared" si="21"/>
        <v>#VALUE!</v>
      </c>
      <c r="AL10" s="34" t="e">
        <f t="shared" si="22"/>
        <v>#VALUE!</v>
      </c>
      <c r="AM10" s="34" t="e">
        <f t="shared" si="23"/>
        <v>#VALUE!</v>
      </c>
      <c r="AN10" s="34" t="e">
        <f t="shared" si="24"/>
        <v>#VALUE!</v>
      </c>
    </row>
    <row r="11" spans="2:40" x14ac:dyDescent="0.25">
      <c r="B11" s="16" t="s">
        <v>14</v>
      </c>
      <c r="C11" s="15">
        <v>43780</v>
      </c>
      <c r="E11" s="25">
        <f t="shared" si="11"/>
        <v>8</v>
      </c>
      <c r="F11" s="26" t="str">
        <f t="shared" si="12"/>
        <v/>
      </c>
      <c r="G11" s="27" t="str">
        <f t="shared" si="13"/>
        <v/>
      </c>
      <c r="H11" s="28" t="str">
        <f t="shared" si="0"/>
        <v/>
      </c>
      <c r="I11" s="3" t="str">
        <f t="shared" si="14"/>
        <v/>
      </c>
      <c r="J11" s="3" t="str">
        <f t="shared" si="1"/>
        <v xml:space="preserve"> </v>
      </c>
      <c r="K11" s="3" t="str">
        <f t="shared" si="15"/>
        <v/>
      </c>
      <c r="L11" s="30" t="str">
        <f t="shared" si="2"/>
        <v/>
      </c>
      <c r="M11" s="29" t="str">
        <f t="shared" si="16"/>
        <v/>
      </c>
      <c r="N11" s="29" t="str">
        <f t="shared" si="17"/>
        <v/>
      </c>
      <c r="O11" s="29" t="str">
        <f t="shared" si="3"/>
        <v/>
      </c>
      <c r="P11" s="29" t="str">
        <f t="shared" si="4"/>
        <v/>
      </c>
      <c r="Q11" s="29" t="str">
        <f t="shared" si="5"/>
        <v/>
      </c>
      <c r="R11" s="23" t="str">
        <f t="shared" si="6"/>
        <v/>
      </c>
      <c r="S11" s="5" t="str">
        <f t="shared" si="18"/>
        <v/>
      </c>
      <c r="T11" s="5" t="str">
        <f t="shared" si="19"/>
        <v/>
      </c>
      <c r="U11" s="5" t="str">
        <f t="shared" si="20"/>
        <v/>
      </c>
      <c r="V11" s="4" t="str">
        <f t="shared" si="7"/>
        <v/>
      </c>
      <c r="W11" s="6" t="str">
        <f t="shared" si="8"/>
        <v/>
      </c>
      <c r="X11" s="22" t="str">
        <f t="shared" si="9"/>
        <v/>
      </c>
      <c r="Y11" s="22" t="str">
        <f t="shared" si="10"/>
        <v/>
      </c>
      <c r="Z11" s="22"/>
      <c r="AA11" s="1">
        <v>8</v>
      </c>
      <c r="AB11" s="1">
        <v>1</v>
      </c>
      <c r="AC11" s="1" t="s">
        <v>38</v>
      </c>
      <c r="AD11" s="2">
        <v>44002</v>
      </c>
      <c r="AE11" s="2">
        <v>43780</v>
      </c>
      <c r="AF11" s="36">
        <v>28.74</v>
      </c>
      <c r="AG11" s="36">
        <v>5.41</v>
      </c>
      <c r="AH11" s="36">
        <v>23.33</v>
      </c>
      <c r="AI11" s="36">
        <v>1.49</v>
      </c>
      <c r="AK11" s="34" t="e">
        <f t="shared" si="21"/>
        <v>#VALUE!</v>
      </c>
      <c r="AL11" s="34" t="e">
        <f t="shared" si="22"/>
        <v>#VALUE!</v>
      </c>
      <c r="AM11" s="34" t="e">
        <f t="shared" si="23"/>
        <v>#VALUE!</v>
      </c>
      <c r="AN11" s="34" t="e">
        <f t="shared" si="24"/>
        <v>#VALUE!</v>
      </c>
    </row>
    <row r="12" spans="2:40" x14ac:dyDescent="0.25">
      <c r="B12" s="11" t="s">
        <v>33</v>
      </c>
      <c r="C12" s="32" t="s">
        <v>34</v>
      </c>
      <c r="E12" s="25">
        <f t="shared" si="11"/>
        <v>9</v>
      </c>
      <c r="F12" s="26" t="str">
        <f t="shared" si="12"/>
        <v/>
      </c>
      <c r="G12" s="27" t="str">
        <f t="shared" si="13"/>
        <v/>
      </c>
      <c r="H12" s="28" t="str">
        <f t="shared" si="0"/>
        <v/>
      </c>
      <c r="I12" s="3" t="str">
        <f t="shared" si="14"/>
        <v/>
      </c>
      <c r="J12" s="3" t="str">
        <f t="shared" si="1"/>
        <v xml:space="preserve"> </v>
      </c>
      <c r="K12" s="3" t="str">
        <f t="shared" si="15"/>
        <v/>
      </c>
      <c r="L12" s="30" t="str">
        <f t="shared" si="2"/>
        <v/>
      </c>
      <c r="M12" s="29" t="str">
        <f t="shared" si="16"/>
        <v/>
      </c>
      <c r="N12" s="29" t="str">
        <f t="shared" si="17"/>
        <v/>
      </c>
      <c r="O12" s="29" t="str">
        <f t="shared" si="3"/>
        <v/>
      </c>
      <c r="P12" s="29" t="str">
        <f t="shared" si="4"/>
        <v/>
      </c>
      <c r="Q12" s="29" t="str">
        <f t="shared" si="5"/>
        <v/>
      </c>
      <c r="R12" s="23" t="str">
        <f t="shared" si="6"/>
        <v/>
      </c>
      <c r="S12" s="5" t="str">
        <f t="shared" si="18"/>
        <v/>
      </c>
      <c r="T12" s="5" t="str">
        <f t="shared" si="19"/>
        <v/>
      </c>
      <c r="U12" s="5" t="str">
        <f t="shared" si="20"/>
        <v/>
      </c>
      <c r="V12" s="4" t="str">
        <f t="shared" si="7"/>
        <v/>
      </c>
      <c r="W12" s="6" t="str">
        <f t="shared" si="8"/>
        <v/>
      </c>
      <c r="X12" s="22" t="str">
        <f t="shared" si="9"/>
        <v/>
      </c>
      <c r="Y12" s="22" t="str">
        <f t="shared" si="10"/>
        <v/>
      </c>
      <c r="Z12" s="22"/>
      <c r="AA12" s="1">
        <v>9</v>
      </c>
      <c r="AB12" s="1">
        <v>1</v>
      </c>
      <c r="AC12" s="1" t="s">
        <v>38</v>
      </c>
      <c r="AD12" s="2">
        <v>44032</v>
      </c>
      <c r="AE12" s="2">
        <v>43780</v>
      </c>
      <c r="AF12" s="36">
        <v>28.74</v>
      </c>
      <c r="AG12" s="36">
        <v>6.32</v>
      </c>
      <c r="AH12" s="36">
        <v>22.42</v>
      </c>
      <c r="AI12" s="36">
        <v>1.48</v>
      </c>
      <c r="AK12" s="34" t="e">
        <f t="shared" si="21"/>
        <v>#VALUE!</v>
      </c>
      <c r="AL12" s="34" t="e">
        <f t="shared" si="22"/>
        <v>#VALUE!</v>
      </c>
      <c r="AM12" s="34" t="e">
        <f t="shared" si="23"/>
        <v>#VALUE!</v>
      </c>
      <c r="AN12" s="34" t="e">
        <f t="shared" si="24"/>
        <v>#VALUE!</v>
      </c>
    </row>
    <row r="13" spans="2:40" x14ac:dyDescent="0.25">
      <c r="B13" s="11" t="s">
        <v>13</v>
      </c>
      <c r="C13" s="14">
        <v>800</v>
      </c>
      <c r="E13" s="25">
        <f t="shared" si="11"/>
        <v>10</v>
      </c>
      <c r="F13" s="26" t="str">
        <f t="shared" si="12"/>
        <v/>
      </c>
      <c r="G13" s="27" t="str">
        <f t="shared" si="13"/>
        <v/>
      </c>
      <c r="H13" s="28" t="str">
        <f t="shared" si="0"/>
        <v/>
      </c>
      <c r="I13" s="3" t="str">
        <f t="shared" si="14"/>
        <v/>
      </c>
      <c r="J13" s="3" t="str">
        <f t="shared" si="1"/>
        <v xml:space="preserve"> </v>
      </c>
      <c r="K13" s="3" t="str">
        <f t="shared" si="15"/>
        <v/>
      </c>
      <c r="L13" s="30" t="str">
        <f t="shared" si="2"/>
        <v/>
      </c>
      <c r="M13" s="29" t="str">
        <f t="shared" si="16"/>
        <v/>
      </c>
      <c r="N13" s="29" t="str">
        <f t="shared" si="17"/>
        <v/>
      </c>
      <c r="O13" s="29" t="str">
        <f t="shared" si="3"/>
        <v/>
      </c>
      <c r="P13" s="29" t="str">
        <f t="shared" si="4"/>
        <v/>
      </c>
      <c r="Q13" s="29" t="str">
        <f t="shared" si="5"/>
        <v/>
      </c>
      <c r="R13" s="23" t="str">
        <f t="shared" si="6"/>
        <v/>
      </c>
      <c r="S13" s="5" t="str">
        <f t="shared" si="18"/>
        <v/>
      </c>
      <c r="T13" s="5" t="str">
        <f t="shared" si="19"/>
        <v/>
      </c>
      <c r="U13" s="5" t="str">
        <f t="shared" si="20"/>
        <v/>
      </c>
      <c r="V13" s="4" t="str">
        <f t="shared" si="7"/>
        <v/>
      </c>
      <c r="W13" s="6" t="str">
        <f t="shared" si="8"/>
        <v/>
      </c>
      <c r="X13" s="22" t="str">
        <f t="shared" si="9"/>
        <v/>
      </c>
      <c r="Y13" s="22" t="str">
        <f t="shared" si="10"/>
        <v/>
      </c>
      <c r="Z13" s="22"/>
      <c r="AA13" s="1">
        <v>10</v>
      </c>
      <c r="AB13" s="1">
        <v>1</v>
      </c>
      <c r="AC13" s="1" t="s">
        <v>38</v>
      </c>
      <c r="AD13" s="2">
        <v>44063</v>
      </c>
      <c r="AE13" s="2">
        <v>43780</v>
      </c>
      <c r="AF13" s="36">
        <v>28.74</v>
      </c>
      <c r="AG13" s="36">
        <v>5.77</v>
      </c>
      <c r="AH13" s="36">
        <v>22.97</v>
      </c>
      <c r="AI13" s="36">
        <v>1.46</v>
      </c>
      <c r="AK13" s="34" t="e">
        <f t="shared" si="21"/>
        <v>#VALUE!</v>
      </c>
      <c r="AL13" s="34" t="e">
        <f t="shared" si="22"/>
        <v>#VALUE!</v>
      </c>
      <c r="AM13" s="34" t="e">
        <f t="shared" si="23"/>
        <v>#VALUE!</v>
      </c>
      <c r="AN13" s="34" t="e">
        <f t="shared" si="24"/>
        <v>#VALUE!</v>
      </c>
    </row>
    <row r="14" spans="2:40" x14ac:dyDescent="0.25">
      <c r="B14" s="11" t="s">
        <v>12</v>
      </c>
      <c r="C14" s="13">
        <f>3.075%*12</f>
        <v>0.36900000000000005</v>
      </c>
      <c r="E14" s="25">
        <f t="shared" si="11"/>
        <v>11</v>
      </c>
      <c r="F14" s="26" t="str">
        <f t="shared" si="12"/>
        <v/>
      </c>
      <c r="G14" s="27" t="str">
        <f t="shared" si="13"/>
        <v/>
      </c>
      <c r="H14" s="28" t="str">
        <f t="shared" si="0"/>
        <v/>
      </c>
      <c r="I14" s="3" t="str">
        <f t="shared" si="14"/>
        <v/>
      </c>
      <c r="J14" s="3" t="str">
        <f t="shared" si="1"/>
        <v xml:space="preserve"> </v>
      </c>
      <c r="K14" s="3" t="str">
        <f t="shared" si="15"/>
        <v/>
      </c>
      <c r="L14" s="30" t="str">
        <f t="shared" si="2"/>
        <v/>
      </c>
      <c r="M14" s="29" t="str">
        <f t="shared" si="16"/>
        <v/>
      </c>
      <c r="N14" s="29" t="str">
        <f t="shared" si="17"/>
        <v/>
      </c>
      <c r="O14" s="29" t="str">
        <f t="shared" si="3"/>
        <v/>
      </c>
      <c r="P14" s="29" t="str">
        <f t="shared" si="4"/>
        <v/>
      </c>
      <c r="Q14" s="29" t="str">
        <f t="shared" si="5"/>
        <v/>
      </c>
      <c r="R14" s="23" t="str">
        <f t="shared" si="6"/>
        <v/>
      </c>
      <c r="S14" s="5" t="str">
        <f t="shared" si="18"/>
        <v/>
      </c>
      <c r="T14" s="5" t="str">
        <f t="shared" si="19"/>
        <v/>
      </c>
      <c r="U14" s="5" t="str">
        <f t="shared" si="20"/>
        <v/>
      </c>
      <c r="V14" s="4" t="str">
        <f t="shared" si="7"/>
        <v/>
      </c>
      <c r="W14" s="6" t="str">
        <f t="shared" si="8"/>
        <v/>
      </c>
      <c r="X14" s="22" t="str">
        <f t="shared" si="9"/>
        <v/>
      </c>
      <c r="Y14" s="22" t="str">
        <f t="shared" si="10"/>
        <v/>
      </c>
      <c r="Z14" s="22"/>
      <c r="AA14" s="1">
        <v>11</v>
      </c>
      <c r="AB14" s="1">
        <v>1</v>
      </c>
      <c r="AC14" s="1" t="s">
        <v>38</v>
      </c>
      <c r="AD14" s="2">
        <v>44094</v>
      </c>
      <c r="AE14" s="2">
        <v>43780</v>
      </c>
      <c r="AF14" s="36">
        <v>28.74</v>
      </c>
      <c r="AG14" s="36">
        <v>5.95</v>
      </c>
      <c r="AH14" s="36">
        <v>22.79</v>
      </c>
      <c r="AI14" s="36">
        <v>1.45</v>
      </c>
      <c r="AK14" s="34" t="e">
        <f t="shared" si="21"/>
        <v>#VALUE!</v>
      </c>
      <c r="AL14" s="34" t="e">
        <f t="shared" si="22"/>
        <v>#VALUE!</v>
      </c>
      <c r="AM14" s="34" t="e">
        <f t="shared" si="23"/>
        <v>#VALUE!</v>
      </c>
      <c r="AN14" s="34" t="e">
        <f t="shared" si="24"/>
        <v>#VALUE!</v>
      </c>
    </row>
    <row r="15" spans="2:40" x14ac:dyDescent="0.25">
      <c r="B15" s="11" t="s">
        <v>11</v>
      </c>
      <c r="C15" s="13">
        <f>3.075%*12</f>
        <v>0.36900000000000005</v>
      </c>
      <c r="E15" s="25">
        <f t="shared" si="11"/>
        <v>12</v>
      </c>
      <c r="F15" s="26" t="str">
        <f t="shared" si="12"/>
        <v/>
      </c>
      <c r="G15" s="27" t="str">
        <f t="shared" si="13"/>
        <v/>
      </c>
      <c r="H15" s="28" t="str">
        <f t="shared" si="0"/>
        <v/>
      </c>
      <c r="I15" s="3" t="str">
        <f t="shared" si="14"/>
        <v/>
      </c>
      <c r="J15" s="3" t="str">
        <f t="shared" si="1"/>
        <v xml:space="preserve"> </v>
      </c>
      <c r="K15" s="3" t="str">
        <f t="shared" si="15"/>
        <v/>
      </c>
      <c r="L15" s="30" t="str">
        <f t="shared" si="2"/>
        <v/>
      </c>
      <c r="M15" s="29" t="str">
        <f t="shared" si="16"/>
        <v/>
      </c>
      <c r="N15" s="29" t="str">
        <f t="shared" si="17"/>
        <v/>
      </c>
      <c r="O15" s="29" t="str">
        <f t="shared" si="3"/>
        <v/>
      </c>
      <c r="P15" s="29" t="str">
        <f t="shared" si="4"/>
        <v/>
      </c>
      <c r="Q15" s="29" t="str">
        <f t="shared" si="5"/>
        <v/>
      </c>
      <c r="R15" s="23" t="str">
        <f t="shared" si="6"/>
        <v/>
      </c>
      <c r="S15" s="5" t="str">
        <f t="shared" si="18"/>
        <v/>
      </c>
      <c r="T15" s="5" t="str">
        <f t="shared" si="19"/>
        <v/>
      </c>
      <c r="U15" s="5" t="str">
        <f t="shared" si="20"/>
        <v/>
      </c>
      <c r="V15" s="4" t="str">
        <f t="shared" si="7"/>
        <v/>
      </c>
      <c r="W15" s="6" t="str">
        <f t="shared" si="8"/>
        <v/>
      </c>
      <c r="X15" s="22" t="str">
        <f t="shared" si="9"/>
        <v/>
      </c>
      <c r="Y15" s="22" t="str">
        <f t="shared" si="10"/>
        <v/>
      </c>
      <c r="Z15" s="22"/>
      <c r="AA15" s="1">
        <v>12</v>
      </c>
      <c r="AB15" s="1">
        <v>1</v>
      </c>
      <c r="AC15" s="1" t="s">
        <v>38</v>
      </c>
      <c r="AD15" s="2">
        <v>44124</v>
      </c>
      <c r="AE15" s="2">
        <v>43780</v>
      </c>
      <c r="AF15" s="36">
        <v>28.74</v>
      </c>
      <c r="AG15" s="36">
        <v>6.87</v>
      </c>
      <c r="AH15" s="36">
        <v>21.87</v>
      </c>
      <c r="AI15" s="36">
        <v>1.44</v>
      </c>
      <c r="AK15" s="34" t="e">
        <f t="shared" si="21"/>
        <v>#VALUE!</v>
      </c>
      <c r="AL15" s="34" t="e">
        <f t="shared" si="22"/>
        <v>#VALUE!</v>
      </c>
      <c r="AM15" s="34" t="e">
        <f t="shared" si="23"/>
        <v>#VALUE!</v>
      </c>
      <c r="AN15" s="34" t="e">
        <f t="shared" si="24"/>
        <v>#VALUE!</v>
      </c>
    </row>
    <row r="16" spans="2:40" x14ac:dyDescent="0.25">
      <c r="B16" s="11" t="s">
        <v>10</v>
      </c>
      <c r="C16" s="12">
        <v>60</v>
      </c>
      <c r="E16" s="25">
        <f t="shared" si="11"/>
        <v>13</v>
      </c>
      <c r="F16" s="26" t="str">
        <f t="shared" si="12"/>
        <v/>
      </c>
      <c r="G16" s="27" t="str">
        <f t="shared" si="13"/>
        <v/>
      </c>
      <c r="H16" s="28" t="str">
        <f t="shared" si="0"/>
        <v/>
      </c>
      <c r="I16" s="3" t="str">
        <f t="shared" si="14"/>
        <v/>
      </c>
      <c r="J16" s="3" t="str">
        <f t="shared" si="1"/>
        <v xml:space="preserve"> </v>
      </c>
      <c r="K16" s="3" t="str">
        <f t="shared" si="15"/>
        <v/>
      </c>
      <c r="L16" s="30" t="str">
        <f t="shared" si="2"/>
        <v/>
      </c>
      <c r="M16" s="29" t="str">
        <f t="shared" si="16"/>
        <v/>
      </c>
      <c r="N16" s="29" t="str">
        <f t="shared" si="17"/>
        <v/>
      </c>
      <c r="O16" s="29" t="str">
        <f t="shared" si="3"/>
        <v/>
      </c>
      <c r="P16" s="29" t="str">
        <f t="shared" si="4"/>
        <v/>
      </c>
      <c r="Q16" s="29" t="str">
        <f t="shared" si="5"/>
        <v/>
      </c>
      <c r="R16" s="23" t="str">
        <f t="shared" si="6"/>
        <v/>
      </c>
      <c r="S16" s="5" t="str">
        <f t="shared" si="18"/>
        <v/>
      </c>
      <c r="T16" s="5" t="str">
        <f t="shared" si="19"/>
        <v/>
      </c>
      <c r="U16" s="5" t="str">
        <f t="shared" si="20"/>
        <v/>
      </c>
      <c r="V16" s="4" t="str">
        <f t="shared" si="7"/>
        <v/>
      </c>
      <c r="W16" s="6" t="str">
        <f t="shared" si="8"/>
        <v/>
      </c>
      <c r="X16" s="22" t="str">
        <f t="shared" si="9"/>
        <v/>
      </c>
      <c r="Y16" s="22" t="str">
        <f t="shared" si="10"/>
        <v/>
      </c>
      <c r="Z16" s="22"/>
      <c r="AA16" s="1">
        <v>13</v>
      </c>
      <c r="AB16" s="1">
        <v>1</v>
      </c>
      <c r="AC16" s="1" t="s">
        <v>38</v>
      </c>
      <c r="AD16" s="2">
        <v>44155</v>
      </c>
      <c r="AE16" s="2">
        <v>43780</v>
      </c>
      <c r="AF16" s="36">
        <v>28.74</v>
      </c>
      <c r="AG16" s="36">
        <v>6.36</v>
      </c>
      <c r="AH16" s="36">
        <v>22.38</v>
      </c>
      <c r="AI16" s="36">
        <v>1.43</v>
      </c>
      <c r="AK16" s="34" t="e">
        <f t="shared" si="21"/>
        <v>#VALUE!</v>
      </c>
      <c r="AL16" s="34" t="e">
        <f t="shared" si="22"/>
        <v>#VALUE!</v>
      </c>
      <c r="AM16" s="34" t="e">
        <f t="shared" si="23"/>
        <v>#VALUE!</v>
      </c>
      <c r="AN16" s="34" t="e">
        <f t="shared" si="24"/>
        <v>#VALUE!</v>
      </c>
    </row>
    <row r="17" spans="2:40" x14ac:dyDescent="0.25">
      <c r="B17" s="11" t="s">
        <v>9</v>
      </c>
      <c r="C17" s="12">
        <v>60</v>
      </c>
      <c r="E17" s="25">
        <f t="shared" si="11"/>
        <v>14</v>
      </c>
      <c r="F17" s="26" t="str">
        <f t="shared" si="12"/>
        <v/>
      </c>
      <c r="G17" s="27" t="str">
        <f t="shared" si="13"/>
        <v/>
      </c>
      <c r="H17" s="28" t="str">
        <f t="shared" si="0"/>
        <v/>
      </c>
      <c r="I17" s="3" t="str">
        <f t="shared" si="14"/>
        <v/>
      </c>
      <c r="J17" s="3" t="str">
        <f t="shared" si="1"/>
        <v xml:space="preserve"> </v>
      </c>
      <c r="K17" s="3" t="str">
        <f t="shared" si="15"/>
        <v/>
      </c>
      <c r="L17" s="30" t="str">
        <f t="shared" si="2"/>
        <v/>
      </c>
      <c r="M17" s="29" t="str">
        <f t="shared" si="16"/>
        <v/>
      </c>
      <c r="N17" s="29" t="str">
        <f t="shared" si="17"/>
        <v/>
      </c>
      <c r="O17" s="29" t="str">
        <f t="shared" si="3"/>
        <v/>
      </c>
      <c r="P17" s="29" t="str">
        <f t="shared" si="4"/>
        <v/>
      </c>
      <c r="Q17" s="29" t="str">
        <f t="shared" si="5"/>
        <v/>
      </c>
      <c r="R17" s="23" t="str">
        <f t="shared" si="6"/>
        <v/>
      </c>
      <c r="S17" s="5" t="str">
        <f t="shared" si="18"/>
        <v/>
      </c>
      <c r="T17" s="5" t="str">
        <f t="shared" si="19"/>
        <v/>
      </c>
      <c r="U17" s="5" t="str">
        <f t="shared" si="20"/>
        <v/>
      </c>
      <c r="V17" s="4" t="str">
        <f t="shared" si="7"/>
        <v/>
      </c>
      <c r="W17" s="6" t="str">
        <f t="shared" si="8"/>
        <v/>
      </c>
      <c r="X17" s="22" t="str">
        <f t="shared" si="9"/>
        <v/>
      </c>
      <c r="Y17" s="22" t="str">
        <f t="shared" si="10"/>
        <v/>
      </c>
      <c r="Z17" s="22"/>
      <c r="AA17" s="1">
        <v>14</v>
      </c>
      <c r="AB17" s="1">
        <v>1</v>
      </c>
      <c r="AC17" s="1" t="s">
        <v>38</v>
      </c>
      <c r="AD17" s="2">
        <v>44185</v>
      </c>
      <c r="AE17" s="2">
        <v>43780</v>
      </c>
      <c r="AF17" s="36">
        <v>28.74</v>
      </c>
      <c r="AG17" s="36">
        <v>7.27</v>
      </c>
      <c r="AH17" s="36">
        <v>21.47</v>
      </c>
      <c r="AI17" s="36">
        <v>1.42</v>
      </c>
      <c r="AK17" s="34" t="e">
        <f t="shared" si="21"/>
        <v>#VALUE!</v>
      </c>
      <c r="AL17" s="34" t="e">
        <f t="shared" si="22"/>
        <v>#VALUE!</v>
      </c>
      <c r="AM17" s="34" t="e">
        <f t="shared" si="23"/>
        <v>#VALUE!</v>
      </c>
      <c r="AN17" s="34" t="e">
        <f t="shared" si="24"/>
        <v>#VALUE!</v>
      </c>
    </row>
    <row r="18" spans="2:40" x14ac:dyDescent="0.25">
      <c r="B18" s="11" t="s">
        <v>8</v>
      </c>
      <c r="C18" s="10">
        <v>43789</v>
      </c>
      <c r="E18" s="25">
        <f t="shared" si="11"/>
        <v>15</v>
      </c>
      <c r="F18" s="26" t="str">
        <f t="shared" si="12"/>
        <v/>
      </c>
      <c r="G18" s="27" t="str">
        <f t="shared" si="13"/>
        <v/>
      </c>
      <c r="H18" s="28" t="str">
        <f t="shared" si="0"/>
        <v/>
      </c>
      <c r="I18" s="3" t="str">
        <f t="shared" si="14"/>
        <v/>
      </c>
      <c r="J18" s="3" t="str">
        <f t="shared" si="1"/>
        <v xml:space="preserve"> </v>
      </c>
      <c r="K18" s="3" t="str">
        <f t="shared" si="15"/>
        <v/>
      </c>
      <c r="L18" s="30" t="str">
        <f t="shared" si="2"/>
        <v/>
      </c>
      <c r="M18" s="29" t="str">
        <f t="shared" si="16"/>
        <v/>
      </c>
      <c r="N18" s="29" t="str">
        <f>IFERROR(IF(AND(R17="N",R18="Y"),SUM(X18:Y18),IF(AND(R17="Y",R18="N"),SUM(X18:Y18),ROUND((M18+(0*(-1)))*(H18)+(0*(-1)),2))),"")</f>
        <v/>
      </c>
      <c r="O18" s="29" t="str">
        <f t="shared" si="3"/>
        <v/>
      </c>
      <c r="P18" s="29" t="str">
        <f t="shared" si="4"/>
        <v/>
      </c>
      <c r="Q18" s="29" t="str">
        <f t="shared" si="5"/>
        <v/>
      </c>
      <c r="R18" s="23" t="str">
        <f t="shared" si="6"/>
        <v/>
      </c>
      <c r="S18" s="5" t="str">
        <f t="shared" si="18"/>
        <v/>
      </c>
      <c r="T18" s="5" t="str">
        <f t="shared" si="19"/>
        <v/>
      </c>
      <c r="U18" s="5" t="str">
        <f t="shared" si="20"/>
        <v/>
      </c>
      <c r="V18" s="4" t="str">
        <f t="shared" si="7"/>
        <v/>
      </c>
      <c r="W18" s="6" t="str">
        <f t="shared" si="8"/>
        <v/>
      </c>
      <c r="X18" s="22" t="str">
        <f t="shared" si="9"/>
        <v/>
      </c>
      <c r="Y18" s="22" t="str">
        <f t="shared" si="10"/>
        <v/>
      </c>
      <c r="Z18" s="22"/>
      <c r="AA18" s="1">
        <v>15</v>
      </c>
      <c r="AB18" s="1">
        <v>1</v>
      </c>
      <c r="AC18" s="1" t="s">
        <v>38</v>
      </c>
      <c r="AD18" s="2">
        <v>44216</v>
      </c>
      <c r="AE18" s="2">
        <v>43780</v>
      </c>
      <c r="AF18" s="36">
        <v>28.74</v>
      </c>
      <c r="AG18" s="36">
        <v>6.74</v>
      </c>
      <c r="AH18" s="36">
        <v>22</v>
      </c>
      <c r="AI18" s="36">
        <v>1.4</v>
      </c>
      <c r="AK18" s="34" t="e">
        <f t="shared" si="21"/>
        <v>#VALUE!</v>
      </c>
      <c r="AL18" s="34" t="e">
        <f t="shared" si="22"/>
        <v>#VALUE!</v>
      </c>
      <c r="AM18" s="34" t="e">
        <f t="shared" si="23"/>
        <v>#VALUE!</v>
      </c>
      <c r="AN18" s="34" t="e">
        <f t="shared" si="24"/>
        <v>#VALUE!</v>
      </c>
    </row>
    <row r="19" spans="2:40" x14ac:dyDescent="0.25">
      <c r="B19" s="9" t="s">
        <v>7</v>
      </c>
      <c r="C19" s="8" t="str">
        <f>IFERROR(TRUNC(VLOOKUP($C$17,$E$4:$L$69,8),2),"")</f>
        <v/>
      </c>
      <c r="E19" s="25">
        <f t="shared" si="11"/>
        <v>16</v>
      </c>
      <c r="F19" s="26" t="str">
        <f t="shared" si="12"/>
        <v/>
      </c>
      <c r="G19" s="27" t="str">
        <f t="shared" si="13"/>
        <v/>
      </c>
      <c r="H19" s="28" t="str">
        <f t="shared" si="0"/>
        <v/>
      </c>
      <c r="I19" s="3" t="str">
        <f t="shared" si="14"/>
        <v/>
      </c>
      <c r="J19" s="3" t="str">
        <f t="shared" si="1"/>
        <v xml:space="preserve"> </v>
      </c>
      <c r="K19" s="3" t="str">
        <f t="shared" si="15"/>
        <v/>
      </c>
      <c r="L19" s="30" t="str">
        <f t="shared" si="2"/>
        <v/>
      </c>
      <c r="M19" s="29" t="str">
        <f t="shared" si="16"/>
        <v/>
      </c>
      <c r="N19" s="29" t="str">
        <f t="shared" si="17"/>
        <v/>
      </c>
      <c r="O19" s="29" t="str">
        <f t="shared" si="3"/>
        <v/>
      </c>
      <c r="P19" s="29" t="str">
        <f t="shared" si="4"/>
        <v/>
      </c>
      <c r="Q19" s="29" t="str">
        <f t="shared" si="5"/>
        <v/>
      </c>
      <c r="R19" s="23" t="str">
        <f t="shared" si="6"/>
        <v/>
      </c>
      <c r="S19" s="5" t="str">
        <f t="shared" si="18"/>
        <v/>
      </c>
      <c r="T19" s="5" t="str">
        <f t="shared" si="19"/>
        <v/>
      </c>
      <c r="U19" s="5" t="str">
        <f t="shared" si="20"/>
        <v/>
      </c>
      <c r="V19" s="4" t="str">
        <f t="shared" si="7"/>
        <v/>
      </c>
      <c r="W19" s="6" t="str">
        <f t="shared" si="8"/>
        <v/>
      </c>
      <c r="X19" s="22" t="str">
        <f t="shared" si="9"/>
        <v/>
      </c>
      <c r="Y19" s="22" t="str">
        <f t="shared" si="10"/>
        <v/>
      </c>
      <c r="Z19" s="22"/>
      <c r="AA19" s="1">
        <v>16</v>
      </c>
      <c r="AB19" s="1">
        <v>1</v>
      </c>
      <c r="AC19" s="1" t="s">
        <v>38</v>
      </c>
      <c r="AD19" s="2">
        <v>44247</v>
      </c>
      <c r="AE19" s="2">
        <v>43780</v>
      </c>
      <c r="AF19" s="36">
        <v>28.74</v>
      </c>
      <c r="AG19" s="36">
        <v>6.93</v>
      </c>
      <c r="AH19" s="36">
        <v>21.81</v>
      </c>
      <c r="AI19" s="36">
        <v>1.39</v>
      </c>
      <c r="AK19" s="34" t="e">
        <f t="shared" si="21"/>
        <v>#VALUE!</v>
      </c>
      <c r="AL19" s="34" t="e">
        <f t="shared" si="22"/>
        <v>#VALUE!</v>
      </c>
      <c r="AM19" s="34" t="e">
        <f t="shared" si="23"/>
        <v>#VALUE!</v>
      </c>
      <c r="AN19" s="34" t="e">
        <f t="shared" si="24"/>
        <v>#VALUE!</v>
      </c>
    </row>
    <row r="20" spans="2:40" x14ac:dyDescent="0.25">
      <c r="E20" s="25">
        <f t="shared" si="11"/>
        <v>17</v>
      </c>
      <c r="F20" s="26" t="str">
        <f t="shared" si="12"/>
        <v/>
      </c>
      <c r="G20" s="27" t="str">
        <f t="shared" si="13"/>
        <v/>
      </c>
      <c r="H20" s="28" t="str">
        <f t="shared" si="0"/>
        <v/>
      </c>
      <c r="I20" s="3" t="str">
        <f t="shared" si="14"/>
        <v/>
      </c>
      <c r="J20" s="3" t="str">
        <f t="shared" si="1"/>
        <v xml:space="preserve"> </v>
      </c>
      <c r="K20" s="3" t="str">
        <f t="shared" si="15"/>
        <v/>
      </c>
      <c r="L20" s="30" t="str">
        <f t="shared" si="2"/>
        <v/>
      </c>
      <c r="M20" s="29" t="str">
        <f t="shared" si="16"/>
        <v/>
      </c>
      <c r="N20" s="29" t="str">
        <f t="shared" si="17"/>
        <v/>
      </c>
      <c r="O20" s="29" t="str">
        <f t="shared" si="3"/>
        <v/>
      </c>
      <c r="P20" s="29" t="str">
        <f t="shared" si="4"/>
        <v/>
      </c>
      <c r="Q20" s="29" t="str">
        <f t="shared" si="5"/>
        <v/>
      </c>
      <c r="R20" s="23" t="str">
        <f t="shared" si="6"/>
        <v/>
      </c>
      <c r="S20" s="5" t="str">
        <f t="shared" si="18"/>
        <v/>
      </c>
      <c r="T20" s="5" t="str">
        <f t="shared" si="19"/>
        <v/>
      </c>
      <c r="U20" s="5" t="str">
        <f t="shared" si="20"/>
        <v/>
      </c>
      <c r="V20" s="4" t="str">
        <f t="shared" si="7"/>
        <v/>
      </c>
      <c r="W20" s="6" t="str">
        <f t="shared" si="8"/>
        <v/>
      </c>
      <c r="X20" s="22" t="str">
        <f t="shared" si="9"/>
        <v/>
      </c>
      <c r="Y20" s="22" t="str">
        <f t="shared" si="10"/>
        <v/>
      </c>
      <c r="Z20" s="22"/>
      <c r="AA20" s="1">
        <v>17</v>
      </c>
      <c r="AB20" s="1">
        <v>1</v>
      </c>
      <c r="AC20" s="1" t="s">
        <v>38</v>
      </c>
      <c r="AD20" s="2">
        <v>44275</v>
      </c>
      <c r="AE20" s="2">
        <v>43780</v>
      </c>
      <c r="AF20" s="36">
        <v>28.74</v>
      </c>
      <c r="AG20" s="36">
        <v>9.24</v>
      </c>
      <c r="AH20" s="36">
        <v>19.5</v>
      </c>
      <c r="AI20" s="36">
        <v>1.37</v>
      </c>
      <c r="AK20" s="34" t="e">
        <f t="shared" si="21"/>
        <v>#VALUE!</v>
      </c>
      <c r="AL20" s="34" t="e">
        <f t="shared" si="22"/>
        <v>#VALUE!</v>
      </c>
      <c r="AM20" s="34" t="e">
        <f t="shared" si="23"/>
        <v>#VALUE!</v>
      </c>
      <c r="AN20" s="34" t="e">
        <f t="shared" si="24"/>
        <v>#VALUE!</v>
      </c>
    </row>
    <row r="21" spans="2:40" x14ac:dyDescent="0.25">
      <c r="E21" s="25">
        <f t="shared" si="11"/>
        <v>18</v>
      </c>
      <c r="F21" s="26" t="str">
        <f t="shared" si="12"/>
        <v/>
      </c>
      <c r="G21" s="27" t="str">
        <f t="shared" si="13"/>
        <v/>
      </c>
      <c r="H21" s="28" t="str">
        <f t="shared" si="0"/>
        <v/>
      </c>
      <c r="I21" s="3" t="str">
        <f t="shared" si="14"/>
        <v/>
      </c>
      <c r="J21" s="3" t="str">
        <f t="shared" si="1"/>
        <v xml:space="preserve"> </v>
      </c>
      <c r="K21" s="3" t="str">
        <f t="shared" si="15"/>
        <v/>
      </c>
      <c r="L21" s="30" t="str">
        <f t="shared" si="2"/>
        <v/>
      </c>
      <c r="M21" s="29" t="str">
        <f t="shared" si="16"/>
        <v/>
      </c>
      <c r="N21" s="29" t="str">
        <f t="shared" si="17"/>
        <v/>
      </c>
      <c r="O21" s="29" t="str">
        <f t="shared" si="3"/>
        <v/>
      </c>
      <c r="P21" s="29" t="str">
        <f t="shared" si="4"/>
        <v/>
      </c>
      <c r="Q21" s="29" t="str">
        <f t="shared" si="5"/>
        <v/>
      </c>
      <c r="R21" s="23" t="str">
        <f t="shared" si="6"/>
        <v/>
      </c>
      <c r="S21" s="5" t="str">
        <f t="shared" si="18"/>
        <v/>
      </c>
      <c r="T21" s="5" t="str">
        <f t="shared" si="19"/>
        <v/>
      </c>
      <c r="U21" s="5" t="str">
        <f t="shared" si="20"/>
        <v/>
      </c>
      <c r="V21" s="4" t="str">
        <f t="shared" si="7"/>
        <v/>
      </c>
      <c r="W21" s="6" t="str">
        <f t="shared" si="8"/>
        <v/>
      </c>
      <c r="X21" s="22" t="str">
        <f t="shared" si="9"/>
        <v/>
      </c>
      <c r="Y21" s="22" t="str">
        <f t="shared" si="10"/>
        <v/>
      </c>
      <c r="Z21" s="22"/>
      <c r="AA21" s="1">
        <v>18</v>
      </c>
      <c r="AB21" s="1">
        <v>1</v>
      </c>
      <c r="AC21" s="1" t="s">
        <v>38</v>
      </c>
      <c r="AD21" s="2">
        <v>44306</v>
      </c>
      <c r="AE21" s="2">
        <v>43780</v>
      </c>
      <c r="AF21" s="36">
        <v>28.74</v>
      </c>
      <c r="AG21" s="36">
        <v>7.44</v>
      </c>
      <c r="AH21" s="36">
        <v>21.3</v>
      </c>
      <c r="AI21" s="36">
        <v>1.35</v>
      </c>
      <c r="AK21" s="34" t="e">
        <f t="shared" si="21"/>
        <v>#VALUE!</v>
      </c>
      <c r="AL21" s="34" t="e">
        <f t="shared" si="22"/>
        <v>#VALUE!</v>
      </c>
      <c r="AM21" s="34" t="e">
        <f t="shared" si="23"/>
        <v>#VALUE!</v>
      </c>
      <c r="AN21" s="34" t="e">
        <f t="shared" si="24"/>
        <v>#VALUE!</v>
      </c>
    </row>
    <row r="22" spans="2:40" x14ac:dyDescent="0.25">
      <c r="E22" s="25">
        <f t="shared" si="11"/>
        <v>19</v>
      </c>
      <c r="F22" s="26" t="str">
        <f t="shared" si="12"/>
        <v/>
      </c>
      <c r="G22" s="27" t="str">
        <f t="shared" si="13"/>
        <v/>
      </c>
      <c r="H22" s="28" t="str">
        <f t="shared" si="0"/>
        <v/>
      </c>
      <c r="I22" s="3" t="str">
        <f t="shared" si="14"/>
        <v/>
      </c>
      <c r="J22" s="3" t="str">
        <f t="shared" si="1"/>
        <v xml:space="preserve"> </v>
      </c>
      <c r="K22" s="3" t="str">
        <f t="shared" si="15"/>
        <v/>
      </c>
      <c r="L22" s="30" t="str">
        <f t="shared" si="2"/>
        <v/>
      </c>
      <c r="M22" s="29" t="str">
        <f t="shared" si="16"/>
        <v/>
      </c>
      <c r="N22" s="29" t="str">
        <f t="shared" si="17"/>
        <v/>
      </c>
      <c r="O22" s="29" t="str">
        <f t="shared" si="3"/>
        <v/>
      </c>
      <c r="P22" s="29" t="str">
        <f t="shared" si="4"/>
        <v/>
      </c>
      <c r="Q22" s="29" t="str">
        <f t="shared" si="5"/>
        <v/>
      </c>
      <c r="R22" s="23" t="str">
        <f t="shared" si="6"/>
        <v/>
      </c>
      <c r="S22" s="5" t="str">
        <f t="shared" si="18"/>
        <v/>
      </c>
      <c r="T22" s="5" t="str">
        <f t="shared" si="19"/>
        <v/>
      </c>
      <c r="U22" s="5" t="str">
        <f t="shared" si="20"/>
        <v/>
      </c>
      <c r="V22" s="4" t="str">
        <f t="shared" si="7"/>
        <v/>
      </c>
      <c r="W22" s="6" t="str">
        <f t="shared" si="8"/>
        <v/>
      </c>
      <c r="X22" s="22" t="str">
        <f t="shared" si="9"/>
        <v/>
      </c>
      <c r="Y22" s="22" t="str">
        <f t="shared" si="10"/>
        <v/>
      </c>
      <c r="Z22" s="22"/>
      <c r="AA22" s="1">
        <v>19</v>
      </c>
      <c r="AB22" s="1">
        <v>1</v>
      </c>
      <c r="AC22" s="1" t="s">
        <v>38</v>
      </c>
      <c r="AD22" s="2">
        <v>44336</v>
      </c>
      <c r="AE22" s="2">
        <v>43780</v>
      </c>
      <c r="AF22" s="36">
        <v>28.74</v>
      </c>
      <c r="AG22" s="36">
        <v>8.35</v>
      </c>
      <c r="AH22" s="36">
        <v>20.39</v>
      </c>
      <c r="AI22" s="36">
        <v>1.34</v>
      </c>
      <c r="AK22" s="34" t="e">
        <f t="shared" si="21"/>
        <v>#VALUE!</v>
      </c>
      <c r="AL22" s="34" t="e">
        <f t="shared" si="22"/>
        <v>#VALUE!</v>
      </c>
      <c r="AM22" s="34" t="e">
        <f t="shared" si="23"/>
        <v>#VALUE!</v>
      </c>
      <c r="AN22" s="34" t="e">
        <f t="shared" si="24"/>
        <v>#VALUE!</v>
      </c>
    </row>
    <row r="23" spans="2:40" x14ac:dyDescent="0.25">
      <c r="E23" s="25">
        <f t="shared" si="11"/>
        <v>20</v>
      </c>
      <c r="F23" s="26" t="str">
        <f t="shared" si="12"/>
        <v/>
      </c>
      <c r="G23" s="27" t="str">
        <f t="shared" si="13"/>
        <v/>
      </c>
      <c r="H23" s="28" t="str">
        <f t="shared" si="0"/>
        <v/>
      </c>
      <c r="I23" s="3" t="str">
        <f t="shared" si="14"/>
        <v/>
      </c>
      <c r="J23" s="3" t="str">
        <f t="shared" si="1"/>
        <v xml:space="preserve"> </v>
      </c>
      <c r="K23" s="3" t="str">
        <f t="shared" si="15"/>
        <v/>
      </c>
      <c r="L23" s="30" t="str">
        <f t="shared" si="2"/>
        <v/>
      </c>
      <c r="M23" s="29" t="str">
        <f t="shared" si="16"/>
        <v/>
      </c>
      <c r="N23" s="29" t="str">
        <f t="shared" si="17"/>
        <v/>
      </c>
      <c r="O23" s="29" t="str">
        <f t="shared" si="3"/>
        <v/>
      </c>
      <c r="P23" s="29" t="str">
        <f t="shared" si="4"/>
        <v/>
      </c>
      <c r="Q23" s="29" t="str">
        <f t="shared" si="5"/>
        <v/>
      </c>
      <c r="R23" s="23" t="str">
        <f t="shared" si="6"/>
        <v/>
      </c>
      <c r="S23" s="5" t="str">
        <f t="shared" si="18"/>
        <v/>
      </c>
      <c r="T23" s="5" t="str">
        <f t="shared" si="19"/>
        <v/>
      </c>
      <c r="U23" s="5" t="str">
        <f t="shared" si="20"/>
        <v/>
      </c>
      <c r="V23" s="4" t="str">
        <f t="shared" si="7"/>
        <v/>
      </c>
      <c r="W23" s="6" t="str">
        <f t="shared" si="8"/>
        <v/>
      </c>
      <c r="X23" s="22" t="str">
        <f t="shared" si="9"/>
        <v/>
      </c>
      <c r="Y23" s="22" t="str">
        <f t="shared" si="10"/>
        <v/>
      </c>
      <c r="Z23" s="22"/>
      <c r="AA23" s="1">
        <v>20</v>
      </c>
      <c r="AB23" s="1">
        <v>1</v>
      </c>
      <c r="AC23" s="1" t="s">
        <v>38</v>
      </c>
      <c r="AD23" s="2">
        <v>44367</v>
      </c>
      <c r="AE23" s="2">
        <v>43780</v>
      </c>
      <c r="AF23" s="36">
        <v>28.74</v>
      </c>
      <c r="AG23" s="36">
        <v>7.93</v>
      </c>
      <c r="AH23" s="36">
        <v>20.81</v>
      </c>
      <c r="AI23" s="36">
        <v>1.32</v>
      </c>
      <c r="AK23" s="34" t="e">
        <f t="shared" si="21"/>
        <v>#VALUE!</v>
      </c>
      <c r="AL23" s="34" t="e">
        <f t="shared" si="22"/>
        <v>#VALUE!</v>
      </c>
      <c r="AM23" s="34" t="e">
        <f t="shared" si="23"/>
        <v>#VALUE!</v>
      </c>
      <c r="AN23" s="34" t="e">
        <f t="shared" si="24"/>
        <v>#VALUE!</v>
      </c>
    </row>
    <row r="24" spans="2:40" x14ac:dyDescent="0.25">
      <c r="E24" s="25">
        <f t="shared" si="11"/>
        <v>21</v>
      </c>
      <c r="F24" s="26" t="str">
        <f t="shared" si="12"/>
        <v/>
      </c>
      <c r="G24" s="27" t="str">
        <f t="shared" si="13"/>
        <v/>
      </c>
      <c r="H24" s="28" t="str">
        <f t="shared" si="0"/>
        <v/>
      </c>
      <c r="I24" s="7" t="str">
        <f t="shared" si="14"/>
        <v/>
      </c>
      <c r="J24" s="3" t="str">
        <f t="shared" si="1"/>
        <v xml:space="preserve"> </v>
      </c>
      <c r="K24" s="3" t="str">
        <f t="shared" si="15"/>
        <v/>
      </c>
      <c r="L24" s="30" t="str">
        <f t="shared" si="2"/>
        <v/>
      </c>
      <c r="M24" s="29" t="str">
        <f t="shared" si="16"/>
        <v/>
      </c>
      <c r="N24" s="29" t="str">
        <f t="shared" si="17"/>
        <v/>
      </c>
      <c r="O24" s="29" t="str">
        <f t="shared" si="3"/>
        <v/>
      </c>
      <c r="P24" s="29" t="str">
        <f t="shared" si="4"/>
        <v/>
      </c>
      <c r="Q24" s="29" t="str">
        <f t="shared" si="5"/>
        <v/>
      </c>
      <c r="R24" s="23" t="str">
        <f t="shared" si="6"/>
        <v/>
      </c>
      <c r="S24" s="5" t="str">
        <f t="shared" si="18"/>
        <v/>
      </c>
      <c r="T24" s="5" t="str">
        <f t="shared" si="19"/>
        <v/>
      </c>
      <c r="U24" s="5" t="str">
        <f t="shared" si="20"/>
        <v/>
      </c>
      <c r="V24" s="4" t="str">
        <f t="shared" si="7"/>
        <v/>
      </c>
      <c r="W24" s="6" t="str">
        <f t="shared" si="8"/>
        <v/>
      </c>
      <c r="X24" s="22" t="str">
        <f t="shared" si="9"/>
        <v/>
      </c>
      <c r="Y24" s="22" t="str">
        <f t="shared" si="10"/>
        <v/>
      </c>
      <c r="Z24" s="22"/>
      <c r="AA24" s="1">
        <v>21</v>
      </c>
      <c r="AB24" s="1">
        <v>1</v>
      </c>
      <c r="AC24" s="1" t="s">
        <v>38</v>
      </c>
      <c r="AD24" s="2">
        <v>44397</v>
      </c>
      <c r="AE24" s="2">
        <v>43780</v>
      </c>
      <c r="AF24" s="36">
        <v>28.74</v>
      </c>
      <c r="AG24" s="36">
        <v>8.85</v>
      </c>
      <c r="AH24" s="36">
        <v>19.89</v>
      </c>
      <c r="AI24" s="36">
        <v>1.31</v>
      </c>
      <c r="AK24" s="34" t="e">
        <f t="shared" si="21"/>
        <v>#VALUE!</v>
      </c>
      <c r="AL24" s="34" t="e">
        <f t="shared" si="22"/>
        <v>#VALUE!</v>
      </c>
      <c r="AM24" s="34" t="e">
        <f t="shared" si="23"/>
        <v>#VALUE!</v>
      </c>
      <c r="AN24" s="34" t="e">
        <f t="shared" si="24"/>
        <v>#VALUE!</v>
      </c>
    </row>
    <row r="25" spans="2:40" x14ac:dyDescent="0.25">
      <c r="E25" s="25">
        <f t="shared" si="11"/>
        <v>22</v>
      </c>
      <c r="F25" s="26" t="str">
        <f t="shared" si="12"/>
        <v/>
      </c>
      <c r="G25" s="27" t="str">
        <f t="shared" si="13"/>
        <v/>
      </c>
      <c r="H25" s="28" t="str">
        <f t="shared" si="0"/>
        <v/>
      </c>
      <c r="I25" s="3" t="str">
        <f t="shared" si="14"/>
        <v/>
      </c>
      <c r="J25" s="3" t="str">
        <f t="shared" si="1"/>
        <v xml:space="preserve"> </v>
      </c>
      <c r="K25" s="7" t="str">
        <f t="shared" si="15"/>
        <v/>
      </c>
      <c r="L25" s="30" t="str">
        <f t="shared" si="2"/>
        <v/>
      </c>
      <c r="M25" s="29" t="str">
        <f t="shared" si="16"/>
        <v/>
      </c>
      <c r="N25" s="29" t="str">
        <f t="shared" si="17"/>
        <v/>
      </c>
      <c r="O25" s="29" t="str">
        <f t="shared" si="3"/>
        <v/>
      </c>
      <c r="P25" s="29" t="str">
        <f t="shared" si="4"/>
        <v/>
      </c>
      <c r="Q25" s="29" t="str">
        <f t="shared" si="5"/>
        <v/>
      </c>
      <c r="R25" s="23" t="str">
        <f t="shared" si="6"/>
        <v/>
      </c>
      <c r="S25" s="5" t="str">
        <f t="shared" si="18"/>
        <v/>
      </c>
      <c r="T25" s="5" t="str">
        <f t="shared" si="19"/>
        <v/>
      </c>
      <c r="U25" s="5" t="str">
        <f t="shared" si="20"/>
        <v/>
      </c>
      <c r="V25" s="4" t="str">
        <f t="shared" si="7"/>
        <v/>
      </c>
      <c r="W25" s="6" t="str">
        <f t="shared" si="8"/>
        <v/>
      </c>
      <c r="X25" s="22" t="str">
        <f t="shared" si="9"/>
        <v/>
      </c>
      <c r="Y25" s="22" t="str">
        <f t="shared" si="10"/>
        <v/>
      </c>
      <c r="Z25" s="22"/>
      <c r="AA25" s="1">
        <v>22</v>
      </c>
      <c r="AB25" s="1">
        <v>1</v>
      </c>
      <c r="AC25" s="1" t="s">
        <v>38</v>
      </c>
      <c r="AD25" s="2">
        <v>44428</v>
      </c>
      <c r="AE25" s="2">
        <v>43780</v>
      </c>
      <c r="AF25" s="36">
        <v>28.74</v>
      </c>
      <c r="AG25" s="36">
        <v>8.4600000000000009</v>
      </c>
      <c r="AH25" s="36">
        <v>20.28</v>
      </c>
      <c r="AI25" s="36">
        <v>1.29</v>
      </c>
      <c r="AK25" s="34" t="e">
        <f t="shared" si="21"/>
        <v>#VALUE!</v>
      </c>
      <c r="AL25" s="34" t="e">
        <f t="shared" si="22"/>
        <v>#VALUE!</v>
      </c>
      <c r="AM25" s="34" t="e">
        <f t="shared" si="23"/>
        <v>#VALUE!</v>
      </c>
      <c r="AN25" s="34" t="e">
        <f t="shared" si="24"/>
        <v>#VALUE!</v>
      </c>
    </row>
    <row r="26" spans="2:40" x14ac:dyDescent="0.25">
      <c r="E26" s="25">
        <f t="shared" si="11"/>
        <v>23</v>
      </c>
      <c r="F26" s="26" t="str">
        <f t="shared" si="12"/>
        <v/>
      </c>
      <c r="G26" s="27" t="str">
        <f t="shared" si="13"/>
        <v/>
      </c>
      <c r="H26" s="28" t="str">
        <f t="shared" si="0"/>
        <v/>
      </c>
      <c r="I26" s="3" t="str">
        <f t="shared" si="14"/>
        <v/>
      </c>
      <c r="J26" s="3" t="str">
        <f t="shared" si="1"/>
        <v xml:space="preserve"> </v>
      </c>
      <c r="K26" s="3" t="str">
        <f t="shared" si="15"/>
        <v/>
      </c>
      <c r="L26" s="30" t="str">
        <f t="shared" si="2"/>
        <v/>
      </c>
      <c r="M26" s="29" t="str">
        <f t="shared" si="16"/>
        <v/>
      </c>
      <c r="N26" s="29" t="str">
        <f t="shared" si="17"/>
        <v/>
      </c>
      <c r="O26" s="29" t="str">
        <f t="shared" si="3"/>
        <v/>
      </c>
      <c r="P26" s="29" t="str">
        <f t="shared" si="4"/>
        <v/>
      </c>
      <c r="Q26" s="29" t="str">
        <f t="shared" si="5"/>
        <v/>
      </c>
      <c r="R26" s="23" t="str">
        <f t="shared" si="6"/>
        <v/>
      </c>
      <c r="S26" s="5" t="str">
        <f t="shared" si="18"/>
        <v/>
      </c>
      <c r="T26" s="5" t="str">
        <f t="shared" si="19"/>
        <v/>
      </c>
      <c r="U26" s="5" t="str">
        <f t="shared" si="20"/>
        <v/>
      </c>
      <c r="V26" s="4" t="str">
        <f t="shared" si="7"/>
        <v/>
      </c>
      <c r="W26" s="6" t="str">
        <f t="shared" si="8"/>
        <v/>
      </c>
      <c r="X26" s="22" t="str">
        <f t="shared" si="9"/>
        <v/>
      </c>
      <c r="Y26" s="22" t="str">
        <f t="shared" si="10"/>
        <v/>
      </c>
      <c r="Z26" s="22"/>
      <c r="AA26" s="1">
        <v>23</v>
      </c>
      <c r="AB26" s="1">
        <v>1</v>
      </c>
      <c r="AC26" s="1" t="s">
        <v>38</v>
      </c>
      <c r="AD26" s="2">
        <v>44459</v>
      </c>
      <c r="AE26" s="2">
        <v>43780</v>
      </c>
      <c r="AF26" s="36">
        <v>28.74</v>
      </c>
      <c r="AG26" s="36">
        <v>8.73</v>
      </c>
      <c r="AH26" s="36">
        <v>20.010000000000002</v>
      </c>
      <c r="AI26" s="36">
        <v>1.27</v>
      </c>
      <c r="AK26" s="34" t="e">
        <f t="shared" si="21"/>
        <v>#VALUE!</v>
      </c>
      <c r="AL26" s="34" t="e">
        <f t="shared" si="22"/>
        <v>#VALUE!</v>
      </c>
      <c r="AM26" s="34" t="e">
        <f t="shared" si="23"/>
        <v>#VALUE!</v>
      </c>
      <c r="AN26" s="34" t="e">
        <f t="shared" si="24"/>
        <v>#VALUE!</v>
      </c>
    </row>
    <row r="27" spans="2:40" x14ac:dyDescent="0.25">
      <c r="E27" s="25">
        <f t="shared" si="11"/>
        <v>24</v>
      </c>
      <c r="F27" s="26" t="str">
        <f t="shared" si="12"/>
        <v/>
      </c>
      <c r="G27" s="27" t="str">
        <f t="shared" si="13"/>
        <v/>
      </c>
      <c r="H27" s="28" t="str">
        <f t="shared" si="0"/>
        <v/>
      </c>
      <c r="I27" s="3" t="str">
        <f t="shared" si="14"/>
        <v/>
      </c>
      <c r="J27" s="7" t="str">
        <f t="shared" si="1"/>
        <v xml:space="preserve"> </v>
      </c>
      <c r="K27" s="3" t="str">
        <f t="shared" si="15"/>
        <v/>
      </c>
      <c r="L27" s="30" t="str">
        <f t="shared" si="2"/>
        <v/>
      </c>
      <c r="M27" s="29" t="str">
        <f t="shared" si="16"/>
        <v/>
      </c>
      <c r="N27" s="29" t="str">
        <f t="shared" si="17"/>
        <v/>
      </c>
      <c r="O27" s="29" t="str">
        <f t="shared" si="3"/>
        <v/>
      </c>
      <c r="P27" s="29" t="str">
        <f t="shared" si="4"/>
        <v/>
      </c>
      <c r="Q27" s="29" t="str">
        <f t="shared" si="5"/>
        <v/>
      </c>
      <c r="R27" s="23" t="str">
        <f t="shared" si="6"/>
        <v/>
      </c>
      <c r="S27" s="5" t="str">
        <f t="shared" si="18"/>
        <v/>
      </c>
      <c r="T27" s="5" t="str">
        <f t="shared" si="19"/>
        <v/>
      </c>
      <c r="U27" s="5" t="str">
        <f t="shared" si="20"/>
        <v/>
      </c>
      <c r="V27" s="4" t="str">
        <f t="shared" si="7"/>
        <v/>
      </c>
      <c r="W27" s="6" t="str">
        <f t="shared" si="8"/>
        <v/>
      </c>
      <c r="X27" s="22" t="str">
        <f t="shared" si="9"/>
        <v/>
      </c>
      <c r="Y27" s="22" t="str">
        <f t="shared" si="10"/>
        <v/>
      </c>
      <c r="Z27" s="22"/>
      <c r="AA27" s="1">
        <v>24</v>
      </c>
      <c r="AB27" s="1">
        <v>1</v>
      </c>
      <c r="AC27" s="1" t="s">
        <v>38</v>
      </c>
      <c r="AD27" s="2">
        <v>44489</v>
      </c>
      <c r="AE27" s="2">
        <v>43780</v>
      </c>
      <c r="AF27" s="36">
        <v>28.74</v>
      </c>
      <c r="AG27" s="36">
        <v>9.64</v>
      </c>
      <c r="AH27" s="36">
        <v>19.100000000000001</v>
      </c>
      <c r="AI27" s="36">
        <v>1.26</v>
      </c>
      <c r="AK27" s="34" t="e">
        <f t="shared" si="21"/>
        <v>#VALUE!</v>
      </c>
      <c r="AL27" s="34" t="e">
        <f t="shared" si="22"/>
        <v>#VALUE!</v>
      </c>
      <c r="AM27" s="34" t="e">
        <f t="shared" si="23"/>
        <v>#VALUE!</v>
      </c>
      <c r="AN27" s="34" t="e">
        <f t="shared" si="24"/>
        <v>#VALUE!</v>
      </c>
    </row>
    <row r="28" spans="2:40" x14ac:dyDescent="0.25">
      <c r="E28" s="25">
        <f t="shared" si="11"/>
        <v>25</v>
      </c>
      <c r="F28" s="26" t="str">
        <f t="shared" si="12"/>
        <v/>
      </c>
      <c r="G28" s="27" t="str">
        <f t="shared" si="13"/>
        <v/>
      </c>
      <c r="H28" s="28" t="str">
        <f t="shared" si="0"/>
        <v/>
      </c>
      <c r="I28" s="3" t="str">
        <f t="shared" si="14"/>
        <v/>
      </c>
      <c r="J28" s="3" t="str">
        <f t="shared" si="1"/>
        <v xml:space="preserve"> </v>
      </c>
      <c r="K28" s="3" t="str">
        <f t="shared" si="15"/>
        <v/>
      </c>
      <c r="L28" s="30" t="str">
        <f t="shared" si="2"/>
        <v/>
      </c>
      <c r="M28" s="29" t="str">
        <f t="shared" si="16"/>
        <v/>
      </c>
      <c r="N28" s="29" t="str">
        <f t="shared" si="17"/>
        <v/>
      </c>
      <c r="O28" s="29" t="str">
        <f t="shared" si="3"/>
        <v/>
      </c>
      <c r="P28" s="29" t="str">
        <f t="shared" si="4"/>
        <v/>
      </c>
      <c r="Q28" s="29" t="str">
        <f t="shared" si="5"/>
        <v/>
      </c>
      <c r="R28" s="23" t="str">
        <f t="shared" si="6"/>
        <v/>
      </c>
      <c r="S28" s="5" t="str">
        <f t="shared" si="18"/>
        <v/>
      </c>
      <c r="T28" s="5" t="str">
        <f t="shared" si="19"/>
        <v/>
      </c>
      <c r="U28" s="5" t="str">
        <f t="shared" si="20"/>
        <v/>
      </c>
      <c r="V28" s="4" t="str">
        <f t="shared" si="7"/>
        <v/>
      </c>
      <c r="W28" s="6" t="str">
        <f t="shared" si="8"/>
        <v/>
      </c>
      <c r="X28" s="22" t="str">
        <f t="shared" si="9"/>
        <v/>
      </c>
      <c r="Y28" s="22" t="str">
        <f t="shared" si="10"/>
        <v/>
      </c>
      <c r="Z28" s="22"/>
      <c r="AA28" s="1">
        <v>25</v>
      </c>
      <c r="AB28" s="1">
        <v>1</v>
      </c>
      <c r="AC28" s="1" t="s">
        <v>38</v>
      </c>
      <c r="AD28" s="2">
        <v>44520</v>
      </c>
      <c r="AE28" s="2">
        <v>43780</v>
      </c>
      <c r="AF28" s="36">
        <v>28.74</v>
      </c>
      <c r="AG28" s="36">
        <v>9.3000000000000007</v>
      </c>
      <c r="AH28" s="36">
        <v>19.440000000000001</v>
      </c>
      <c r="AI28" s="36">
        <v>1.24</v>
      </c>
      <c r="AK28" s="34" t="e">
        <f t="shared" si="21"/>
        <v>#VALUE!</v>
      </c>
      <c r="AL28" s="34" t="e">
        <f t="shared" si="22"/>
        <v>#VALUE!</v>
      </c>
      <c r="AM28" s="34" t="e">
        <f t="shared" si="23"/>
        <v>#VALUE!</v>
      </c>
      <c r="AN28" s="34" t="e">
        <f t="shared" si="24"/>
        <v>#VALUE!</v>
      </c>
    </row>
    <row r="29" spans="2:40" x14ac:dyDescent="0.25">
      <c r="E29" s="25">
        <f t="shared" si="11"/>
        <v>26</v>
      </c>
      <c r="F29" s="26" t="str">
        <f t="shared" si="12"/>
        <v/>
      </c>
      <c r="G29" s="27" t="str">
        <f t="shared" si="13"/>
        <v/>
      </c>
      <c r="H29" s="28" t="str">
        <f t="shared" si="0"/>
        <v/>
      </c>
      <c r="I29" s="3" t="str">
        <f t="shared" si="14"/>
        <v/>
      </c>
      <c r="J29" s="3" t="str">
        <f t="shared" si="1"/>
        <v xml:space="preserve"> </v>
      </c>
      <c r="K29" s="3" t="str">
        <f t="shared" si="15"/>
        <v/>
      </c>
      <c r="L29" s="30" t="str">
        <f t="shared" si="2"/>
        <v/>
      </c>
      <c r="M29" s="29" t="str">
        <f t="shared" si="16"/>
        <v/>
      </c>
      <c r="N29" s="29" t="str">
        <f t="shared" si="17"/>
        <v/>
      </c>
      <c r="O29" s="29" t="str">
        <f t="shared" si="3"/>
        <v/>
      </c>
      <c r="P29" s="29" t="str">
        <f t="shared" si="4"/>
        <v/>
      </c>
      <c r="Q29" s="29" t="str">
        <f t="shared" si="5"/>
        <v/>
      </c>
      <c r="R29" s="23" t="str">
        <f t="shared" si="6"/>
        <v/>
      </c>
      <c r="S29" s="5" t="str">
        <f t="shared" si="18"/>
        <v/>
      </c>
      <c r="T29" s="5" t="str">
        <f t="shared" si="19"/>
        <v/>
      </c>
      <c r="U29" s="5" t="str">
        <f t="shared" si="20"/>
        <v/>
      </c>
      <c r="V29" s="4" t="str">
        <f t="shared" si="7"/>
        <v/>
      </c>
      <c r="W29" s="6" t="str">
        <f t="shared" si="8"/>
        <v/>
      </c>
      <c r="X29" s="22" t="str">
        <f t="shared" si="9"/>
        <v/>
      </c>
      <c r="Y29" s="22" t="str">
        <f t="shared" si="10"/>
        <v/>
      </c>
      <c r="Z29" s="22"/>
      <c r="AA29" s="1">
        <v>26</v>
      </c>
      <c r="AB29" s="1">
        <v>1</v>
      </c>
      <c r="AC29" s="1" t="s">
        <v>38</v>
      </c>
      <c r="AD29" s="2">
        <v>44550</v>
      </c>
      <c r="AE29" s="2">
        <v>43780</v>
      </c>
      <c r="AF29" s="36">
        <v>28.74</v>
      </c>
      <c r="AG29" s="36">
        <v>10.210000000000001</v>
      </c>
      <c r="AH29" s="36">
        <v>18.53</v>
      </c>
      <c r="AI29" s="36">
        <v>1.22</v>
      </c>
      <c r="AK29" s="34" t="e">
        <f t="shared" si="21"/>
        <v>#VALUE!</v>
      </c>
      <c r="AL29" s="34" t="e">
        <f t="shared" si="22"/>
        <v>#VALUE!</v>
      </c>
      <c r="AM29" s="34" t="e">
        <f t="shared" si="23"/>
        <v>#VALUE!</v>
      </c>
      <c r="AN29" s="34" t="e">
        <f t="shared" si="24"/>
        <v>#VALUE!</v>
      </c>
    </row>
    <row r="30" spans="2:40" x14ac:dyDescent="0.25">
      <c r="E30" s="25">
        <f t="shared" si="11"/>
        <v>27</v>
      </c>
      <c r="F30" s="26" t="str">
        <f t="shared" si="12"/>
        <v/>
      </c>
      <c r="G30" s="27" t="str">
        <f t="shared" si="13"/>
        <v/>
      </c>
      <c r="H30" s="28" t="str">
        <f t="shared" si="0"/>
        <v/>
      </c>
      <c r="I30" s="3" t="str">
        <f t="shared" si="14"/>
        <v/>
      </c>
      <c r="J30" s="3" t="str">
        <f t="shared" si="1"/>
        <v xml:space="preserve"> </v>
      </c>
      <c r="K30" s="3" t="str">
        <f t="shared" si="15"/>
        <v/>
      </c>
      <c r="L30" s="30" t="str">
        <f t="shared" si="2"/>
        <v/>
      </c>
      <c r="M30" s="29" t="str">
        <f t="shared" si="16"/>
        <v/>
      </c>
      <c r="N30" s="29" t="str">
        <f t="shared" si="17"/>
        <v/>
      </c>
      <c r="O30" s="29" t="str">
        <f t="shared" si="3"/>
        <v/>
      </c>
      <c r="P30" s="29" t="str">
        <f t="shared" si="4"/>
        <v/>
      </c>
      <c r="Q30" s="29" t="str">
        <f t="shared" si="5"/>
        <v/>
      </c>
      <c r="R30" s="23" t="str">
        <f t="shared" si="6"/>
        <v/>
      </c>
      <c r="S30" s="5" t="str">
        <f t="shared" si="18"/>
        <v/>
      </c>
      <c r="T30" s="5" t="str">
        <f t="shared" si="19"/>
        <v/>
      </c>
      <c r="U30" s="5" t="str">
        <f t="shared" si="20"/>
        <v/>
      </c>
      <c r="V30" s="4" t="str">
        <f t="shared" si="7"/>
        <v/>
      </c>
      <c r="W30" s="6" t="str">
        <f t="shared" si="8"/>
        <v/>
      </c>
      <c r="X30" s="22" t="str">
        <f t="shared" si="9"/>
        <v/>
      </c>
      <c r="Y30" s="22" t="str">
        <f t="shared" si="10"/>
        <v/>
      </c>
      <c r="Z30" s="22"/>
      <c r="AA30" s="1">
        <v>27</v>
      </c>
      <c r="AB30" s="1">
        <v>1</v>
      </c>
      <c r="AC30" s="1" t="s">
        <v>38</v>
      </c>
      <c r="AD30" s="2">
        <v>44581</v>
      </c>
      <c r="AE30" s="2">
        <v>43780</v>
      </c>
      <c r="AF30" s="36">
        <v>28.74</v>
      </c>
      <c r="AG30" s="36">
        <v>9.91</v>
      </c>
      <c r="AH30" s="36">
        <v>18.829999999999998</v>
      </c>
      <c r="AI30" s="36">
        <v>1.2</v>
      </c>
      <c r="AK30" s="34" t="e">
        <f t="shared" si="21"/>
        <v>#VALUE!</v>
      </c>
      <c r="AL30" s="34" t="e">
        <f t="shared" si="22"/>
        <v>#VALUE!</v>
      </c>
      <c r="AM30" s="34" t="e">
        <f t="shared" si="23"/>
        <v>#VALUE!</v>
      </c>
      <c r="AN30" s="34" t="e">
        <f t="shared" si="24"/>
        <v>#VALUE!</v>
      </c>
    </row>
    <row r="31" spans="2:40" x14ac:dyDescent="0.25">
      <c r="E31" s="25">
        <f t="shared" si="11"/>
        <v>28</v>
      </c>
      <c r="F31" s="26" t="str">
        <f t="shared" si="12"/>
        <v/>
      </c>
      <c r="G31" s="27" t="str">
        <f t="shared" si="13"/>
        <v/>
      </c>
      <c r="H31" s="28" t="str">
        <f t="shared" si="0"/>
        <v/>
      </c>
      <c r="I31" s="3" t="str">
        <f t="shared" si="14"/>
        <v/>
      </c>
      <c r="J31" s="3" t="str">
        <f t="shared" si="1"/>
        <v xml:space="preserve"> </v>
      </c>
      <c r="K31" s="3" t="str">
        <f t="shared" si="15"/>
        <v/>
      </c>
      <c r="L31" s="30" t="str">
        <f t="shared" si="2"/>
        <v/>
      </c>
      <c r="M31" s="29" t="str">
        <f t="shared" si="16"/>
        <v/>
      </c>
      <c r="N31" s="29" t="str">
        <f t="shared" si="17"/>
        <v/>
      </c>
      <c r="O31" s="29" t="str">
        <f t="shared" si="3"/>
        <v/>
      </c>
      <c r="P31" s="29" t="str">
        <f t="shared" si="4"/>
        <v/>
      </c>
      <c r="Q31" s="29" t="str">
        <f t="shared" si="5"/>
        <v/>
      </c>
      <c r="R31" s="23" t="str">
        <f t="shared" si="6"/>
        <v/>
      </c>
      <c r="S31" s="5" t="str">
        <f t="shared" si="18"/>
        <v/>
      </c>
      <c r="T31" s="5" t="str">
        <f t="shared" si="19"/>
        <v/>
      </c>
      <c r="U31" s="5" t="str">
        <f t="shared" si="20"/>
        <v/>
      </c>
      <c r="V31" s="4" t="str">
        <f t="shared" si="7"/>
        <v/>
      </c>
      <c r="W31" s="6" t="str">
        <f t="shared" si="8"/>
        <v/>
      </c>
      <c r="X31" s="22" t="str">
        <f t="shared" si="9"/>
        <v/>
      </c>
      <c r="Y31" s="22" t="str">
        <f t="shared" si="10"/>
        <v/>
      </c>
      <c r="Z31" s="22"/>
      <c r="AA31" s="1">
        <v>28</v>
      </c>
      <c r="AB31" s="1">
        <v>1</v>
      </c>
      <c r="AC31" s="1" t="s">
        <v>38</v>
      </c>
      <c r="AD31" s="2">
        <v>44612</v>
      </c>
      <c r="AE31" s="2">
        <v>43780</v>
      </c>
      <c r="AF31" s="36">
        <v>28.74</v>
      </c>
      <c r="AG31" s="36">
        <v>10.220000000000001</v>
      </c>
      <c r="AH31" s="36">
        <v>18.52</v>
      </c>
      <c r="AI31" s="36">
        <v>1.18</v>
      </c>
      <c r="AK31" s="34" t="e">
        <f t="shared" si="21"/>
        <v>#VALUE!</v>
      </c>
      <c r="AL31" s="34" t="e">
        <f t="shared" si="22"/>
        <v>#VALUE!</v>
      </c>
      <c r="AM31" s="34" t="e">
        <f t="shared" si="23"/>
        <v>#VALUE!</v>
      </c>
      <c r="AN31" s="34" t="e">
        <f t="shared" si="24"/>
        <v>#VALUE!</v>
      </c>
    </row>
    <row r="32" spans="2:40" x14ac:dyDescent="0.25">
      <c r="E32" s="25">
        <f t="shared" si="11"/>
        <v>29</v>
      </c>
      <c r="F32" s="26" t="str">
        <f t="shared" si="12"/>
        <v/>
      </c>
      <c r="G32" s="27" t="str">
        <f t="shared" si="13"/>
        <v/>
      </c>
      <c r="H32" s="28" t="str">
        <f t="shared" si="0"/>
        <v/>
      </c>
      <c r="I32" s="3" t="str">
        <f t="shared" si="14"/>
        <v/>
      </c>
      <c r="J32" s="3" t="str">
        <f t="shared" si="1"/>
        <v xml:space="preserve"> </v>
      </c>
      <c r="K32" s="3" t="str">
        <f t="shared" si="15"/>
        <v/>
      </c>
      <c r="L32" s="30" t="str">
        <f t="shared" si="2"/>
        <v/>
      </c>
      <c r="M32" s="29" t="str">
        <f t="shared" si="16"/>
        <v/>
      </c>
      <c r="N32" s="29" t="str">
        <f t="shared" si="17"/>
        <v/>
      </c>
      <c r="O32" s="29" t="str">
        <f t="shared" si="3"/>
        <v/>
      </c>
      <c r="P32" s="29" t="str">
        <f t="shared" si="4"/>
        <v/>
      </c>
      <c r="Q32" s="29" t="str">
        <f t="shared" si="5"/>
        <v/>
      </c>
      <c r="R32" s="23" t="str">
        <f t="shared" si="6"/>
        <v/>
      </c>
      <c r="S32" s="5" t="str">
        <f t="shared" si="18"/>
        <v/>
      </c>
      <c r="T32" s="5" t="str">
        <f t="shared" si="19"/>
        <v/>
      </c>
      <c r="U32" s="5" t="str">
        <f t="shared" si="20"/>
        <v/>
      </c>
      <c r="V32" s="4" t="str">
        <f t="shared" si="7"/>
        <v/>
      </c>
      <c r="W32" s="6" t="str">
        <f t="shared" si="8"/>
        <v/>
      </c>
      <c r="X32" s="22" t="str">
        <f t="shared" si="9"/>
        <v/>
      </c>
      <c r="Y32" s="22" t="str">
        <f t="shared" si="10"/>
        <v/>
      </c>
      <c r="Z32" s="22"/>
      <c r="AA32" s="1">
        <v>29</v>
      </c>
      <c r="AB32" s="1">
        <v>1</v>
      </c>
      <c r="AC32" s="1" t="s">
        <v>38</v>
      </c>
      <c r="AD32" s="2">
        <v>44640</v>
      </c>
      <c r="AE32" s="2">
        <v>43780</v>
      </c>
      <c r="AF32" s="36">
        <v>28.74</v>
      </c>
      <c r="AG32" s="36">
        <v>12.3</v>
      </c>
      <c r="AH32" s="36">
        <v>16.440000000000001</v>
      </c>
      <c r="AI32" s="36">
        <v>1.1599999999999999</v>
      </c>
      <c r="AK32" s="34" t="e">
        <f t="shared" si="21"/>
        <v>#VALUE!</v>
      </c>
      <c r="AL32" s="34" t="e">
        <f t="shared" si="22"/>
        <v>#VALUE!</v>
      </c>
      <c r="AM32" s="34" t="e">
        <f t="shared" si="23"/>
        <v>#VALUE!</v>
      </c>
      <c r="AN32" s="34" t="e">
        <f t="shared" si="24"/>
        <v>#VALUE!</v>
      </c>
    </row>
    <row r="33" spans="5:40" x14ac:dyDescent="0.25">
      <c r="E33" s="25">
        <f t="shared" si="11"/>
        <v>30</v>
      </c>
      <c r="F33" s="26" t="str">
        <f t="shared" si="12"/>
        <v/>
      </c>
      <c r="G33" s="27" t="str">
        <f t="shared" si="13"/>
        <v/>
      </c>
      <c r="H33" s="28" t="str">
        <f t="shared" si="0"/>
        <v/>
      </c>
      <c r="I33" s="3" t="str">
        <f t="shared" si="14"/>
        <v/>
      </c>
      <c r="J33" s="3" t="str">
        <f t="shared" si="1"/>
        <v xml:space="preserve"> </v>
      </c>
      <c r="K33" s="3" t="str">
        <f t="shared" si="15"/>
        <v/>
      </c>
      <c r="L33" s="30" t="str">
        <f t="shared" si="2"/>
        <v/>
      </c>
      <c r="M33" s="29" t="str">
        <f t="shared" si="16"/>
        <v/>
      </c>
      <c r="N33" s="29" t="str">
        <f t="shared" si="17"/>
        <v/>
      </c>
      <c r="O33" s="29" t="str">
        <f t="shared" si="3"/>
        <v/>
      </c>
      <c r="P33" s="29" t="str">
        <f t="shared" si="4"/>
        <v/>
      </c>
      <c r="Q33" s="29" t="str">
        <f t="shared" si="5"/>
        <v/>
      </c>
      <c r="R33" s="23" t="str">
        <f t="shared" si="6"/>
        <v/>
      </c>
      <c r="S33" s="5" t="str">
        <f t="shared" si="18"/>
        <v/>
      </c>
      <c r="T33" s="5" t="str">
        <f t="shared" si="19"/>
        <v/>
      </c>
      <c r="U33" s="5" t="str">
        <f t="shared" si="20"/>
        <v/>
      </c>
      <c r="V33" s="4" t="str">
        <f t="shared" si="7"/>
        <v/>
      </c>
      <c r="W33" s="6" t="str">
        <f t="shared" si="8"/>
        <v/>
      </c>
      <c r="X33" s="22" t="str">
        <f t="shared" si="9"/>
        <v/>
      </c>
      <c r="Y33" s="22" t="str">
        <f t="shared" si="10"/>
        <v/>
      </c>
      <c r="Z33" s="22"/>
      <c r="AA33" s="1">
        <v>30</v>
      </c>
      <c r="AB33" s="1">
        <v>1</v>
      </c>
      <c r="AC33" s="1" t="s">
        <v>38</v>
      </c>
      <c r="AD33" s="2">
        <v>44671</v>
      </c>
      <c r="AE33" s="2">
        <v>43780</v>
      </c>
      <c r="AF33" s="36">
        <v>28.74</v>
      </c>
      <c r="AG33" s="36">
        <v>10.93</v>
      </c>
      <c r="AH33" s="36">
        <v>17.809999999999999</v>
      </c>
      <c r="AI33" s="36">
        <v>1.1299999999999999</v>
      </c>
      <c r="AK33" s="34" t="e">
        <f t="shared" si="21"/>
        <v>#VALUE!</v>
      </c>
      <c r="AL33" s="34" t="e">
        <f t="shared" si="22"/>
        <v>#VALUE!</v>
      </c>
      <c r="AM33" s="34" t="e">
        <f t="shared" si="23"/>
        <v>#VALUE!</v>
      </c>
      <c r="AN33" s="34" t="e">
        <f t="shared" si="24"/>
        <v>#VALUE!</v>
      </c>
    </row>
    <row r="34" spans="5:40" x14ac:dyDescent="0.25">
      <c r="E34" s="25">
        <f t="shared" si="11"/>
        <v>31</v>
      </c>
      <c r="F34" s="26" t="str">
        <f t="shared" si="12"/>
        <v/>
      </c>
      <c r="G34" s="27" t="str">
        <f t="shared" si="13"/>
        <v/>
      </c>
      <c r="H34" s="28" t="str">
        <f t="shared" si="0"/>
        <v/>
      </c>
      <c r="I34" s="3" t="str">
        <f t="shared" si="14"/>
        <v/>
      </c>
      <c r="J34" s="3" t="str">
        <f t="shared" si="1"/>
        <v xml:space="preserve"> </v>
      </c>
      <c r="K34" s="3" t="str">
        <f t="shared" si="15"/>
        <v/>
      </c>
      <c r="L34" s="30" t="str">
        <f t="shared" si="2"/>
        <v/>
      </c>
      <c r="M34" s="29" t="str">
        <f t="shared" si="16"/>
        <v/>
      </c>
      <c r="N34" s="29" t="str">
        <f>IFERROR(IF(AND(R33="N",R34="Y"),SUM(X34:Y34),IF(AND(R33="Y",R34="N"),SUM(X34:Y34),ROUND((M34+(0*(-1)))*(H34)+(0*(-1)),2))),"")</f>
        <v/>
      </c>
      <c r="O34" s="29" t="str">
        <f t="shared" si="3"/>
        <v/>
      </c>
      <c r="P34" s="29" t="str">
        <f t="shared" si="4"/>
        <v/>
      </c>
      <c r="Q34" s="29" t="str">
        <f t="shared" si="5"/>
        <v/>
      </c>
      <c r="R34" s="23" t="str">
        <f t="shared" si="6"/>
        <v/>
      </c>
      <c r="S34" s="5" t="str">
        <f t="shared" si="18"/>
        <v/>
      </c>
      <c r="T34" s="5" t="str">
        <f t="shared" si="19"/>
        <v/>
      </c>
      <c r="U34" s="5" t="str">
        <f t="shared" si="20"/>
        <v/>
      </c>
      <c r="V34" s="4" t="str">
        <f t="shared" si="7"/>
        <v/>
      </c>
      <c r="W34" s="6" t="str">
        <f t="shared" si="8"/>
        <v/>
      </c>
      <c r="X34" s="22" t="str">
        <f t="shared" si="9"/>
        <v/>
      </c>
      <c r="Y34" s="22" t="str">
        <f t="shared" si="10"/>
        <v/>
      </c>
      <c r="Z34" s="22"/>
      <c r="AA34" s="1">
        <v>31</v>
      </c>
      <c r="AB34" s="1">
        <v>1</v>
      </c>
      <c r="AC34" s="1" t="s">
        <v>38</v>
      </c>
      <c r="AD34" s="2">
        <v>44701</v>
      </c>
      <c r="AE34" s="2">
        <v>43780</v>
      </c>
      <c r="AF34" s="36">
        <v>28.74</v>
      </c>
      <c r="AG34" s="36">
        <v>11.83</v>
      </c>
      <c r="AH34" s="36">
        <v>16.91</v>
      </c>
      <c r="AI34" s="36">
        <v>1.1100000000000001</v>
      </c>
      <c r="AK34" s="34" t="e">
        <f t="shared" si="21"/>
        <v>#VALUE!</v>
      </c>
      <c r="AL34" s="34" t="e">
        <f t="shared" si="22"/>
        <v>#VALUE!</v>
      </c>
      <c r="AM34" s="34" t="e">
        <f t="shared" si="23"/>
        <v>#VALUE!</v>
      </c>
      <c r="AN34" s="34" t="e">
        <f t="shared" si="24"/>
        <v>#VALUE!</v>
      </c>
    </row>
    <row r="35" spans="5:40" x14ac:dyDescent="0.25">
      <c r="E35" s="25">
        <f t="shared" si="11"/>
        <v>32</v>
      </c>
      <c r="F35" s="26" t="str">
        <f t="shared" si="12"/>
        <v/>
      </c>
      <c r="G35" s="27" t="str">
        <f t="shared" si="13"/>
        <v/>
      </c>
      <c r="H35" s="28" t="str">
        <f t="shared" si="0"/>
        <v/>
      </c>
      <c r="I35" s="3" t="str">
        <f t="shared" si="14"/>
        <v/>
      </c>
      <c r="J35" s="3" t="str">
        <f t="shared" si="1"/>
        <v xml:space="preserve"> </v>
      </c>
      <c r="K35" s="3" t="str">
        <f t="shared" si="15"/>
        <v/>
      </c>
      <c r="L35" s="30" t="str">
        <f t="shared" si="2"/>
        <v/>
      </c>
      <c r="M35" s="29" t="str">
        <f t="shared" si="16"/>
        <v/>
      </c>
      <c r="N35" s="29" t="str">
        <f t="shared" si="17"/>
        <v/>
      </c>
      <c r="O35" s="29" t="str">
        <f t="shared" si="3"/>
        <v/>
      </c>
      <c r="P35" s="29" t="str">
        <f t="shared" si="4"/>
        <v/>
      </c>
      <c r="Q35" s="29" t="str">
        <f t="shared" si="5"/>
        <v/>
      </c>
      <c r="R35" s="23" t="str">
        <f t="shared" si="6"/>
        <v/>
      </c>
      <c r="S35" s="5" t="str">
        <f t="shared" si="18"/>
        <v/>
      </c>
      <c r="T35" s="5" t="str">
        <f t="shared" si="19"/>
        <v/>
      </c>
      <c r="U35" s="5" t="str">
        <f t="shared" si="20"/>
        <v/>
      </c>
      <c r="V35" s="4" t="str">
        <f t="shared" si="7"/>
        <v/>
      </c>
      <c r="W35" s="6" t="str">
        <f t="shared" si="8"/>
        <v/>
      </c>
      <c r="X35" s="22" t="str">
        <f t="shared" si="9"/>
        <v/>
      </c>
      <c r="Y35" s="22" t="str">
        <f t="shared" si="10"/>
        <v/>
      </c>
      <c r="Z35" s="22"/>
      <c r="AA35" s="1">
        <v>32</v>
      </c>
      <c r="AB35" s="1">
        <v>1</v>
      </c>
      <c r="AC35" s="1" t="s">
        <v>38</v>
      </c>
      <c r="AD35" s="2">
        <v>44732</v>
      </c>
      <c r="AE35" s="2">
        <v>43780</v>
      </c>
      <c r="AF35" s="36">
        <v>28.74</v>
      </c>
      <c r="AG35" s="36">
        <v>11.64</v>
      </c>
      <c r="AH35" s="36">
        <v>17.100000000000001</v>
      </c>
      <c r="AI35" s="36">
        <v>1.0900000000000001</v>
      </c>
      <c r="AK35" s="34" t="e">
        <f t="shared" si="21"/>
        <v>#VALUE!</v>
      </c>
      <c r="AL35" s="34" t="e">
        <f t="shared" si="22"/>
        <v>#VALUE!</v>
      </c>
      <c r="AM35" s="34" t="e">
        <f t="shared" si="23"/>
        <v>#VALUE!</v>
      </c>
      <c r="AN35" s="34" t="e">
        <f t="shared" si="24"/>
        <v>#VALUE!</v>
      </c>
    </row>
    <row r="36" spans="5:40" x14ac:dyDescent="0.25">
      <c r="E36" s="25">
        <f t="shared" si="11"/>
        <v>33</v>
      </c>
      <c r="F36" s="26" t="str">
        <f t="shared" si="12"/>
        <v/>
      </c>
      <c r="G36" s="27" t="str">
        <f t="shared" si="13"/>
        <v/>
      </c>
      <c r="H36" s="28" t="str">
        <f t="shared" si="0"/>
        <v/>
      </c>
      <c r="I36" s="3" t="str">
        <f t="shared" si="14"/>
        <v/>
      </c>
      <c r="J36" s="3" t="str">
        <f t="shared" si="1"/>
        <v xml:space="preserve"> </v>
      </c>
      <c r="K36" s="3" t="str">
        <f t="shared" si="15"/>
        <v/>
      </c>
      <c r="L36" s="30" t="str">
        <f t="shared" si="2"/>
        <v/>
      </c>
      <c r="M36" s="29" t="str">
        <f t="shared" si="16"/>
        <v/>
      </c>
      <c r="N36" s="29" t="str">
        <f t="shared" si="17"/>
        <v/>
      </c>
      <c r="O36" s="29" t="str">
        <f t="shared" si="3"/>
        <v/>
      </c>
      <c r="P36" s="29" t="str">
        <f t="shared" si="4"/>
        <v/>
      </c>
      <c r="Q36" s="29" t="str">
        <f t="shared" si="5"/>
        <v/>
      </c>
      <c r="R36" s="23" t="str">
        <f t="shared" si="6"/>
        <v/>
      </c>
      <c r="S36" s="5" t="str">
        <f t="shared" si="18"/>
        <v/>
      </c>
      <c r="T36" s="5" t="str">
        <f t="shared" si="19"/>
        <v/>
      </c>
      <c r="U36" s="5" t="str">
        <f t="shared" si="20"/>
        <v/>
      </c>
      <c r="V36" s="4" t="str">
        <f t="shared" ref="V36:V69" si="25">IFERROR(IF(E36=" "," ",IF($E36&lt;=$C$16,SUM(T36-S36)*$C$14/IF(DAY(DATE(MID(T36,7,4),3,0))=29,366,365),SUM(T36-S36)*$C$15/IF(DAY(DATE(MID(T36,7,4),3,0))=29,366,365))),"")</f>
        <v/>
      </c>
      <c r="W36" s="6" t="str">
        <f t="shared" si="8"/>
        <v/>
      </c>
      <c r="X36" s="22" t="str">
        <f t="shared" si="9"/>
        <v/>
      </c>
      <c r="Y36" s="22" t="str">
        <f t="shared" si="10"/>
        <v/>
      </c>
      <c r="Z36" s="22"/>
      <c r="AA36" s="1">
        <v>33</v>
      </c>
      <c r="AB36" s="1">
        <v>1</v>
      </c>
      <c r="AC36" s="1" t="s">
        <v>38</v>
      </c>
      <c r="AD36" s="2">
        <v>44762</v>
      </c>
      <c r="AE36" s="2">
        <v>43780</v>
      </c>
      <c r="AF36" s="36">
        <v>28.74</v>
      </c>
      <c r="AG36" s="36">
        <v>12.55</v>
      </c>
      <c r="AH36" s="36">
        <v>16.190000000000001</v>
      </c>
      <c r="AI36" s="36">
        <v>1.06</v>
      </c>
      <c r="AK36" s="34" t="e">
        <f t="shared" si="21"/>
        <v>#VALUE!</v>
      </c>
      <c r="AL36" s="34" t="e">
        <f t="shared" si="22"/>
        <v>#VALUE!</v>
      </c>
      <c r="AM36" s="34" t="e">
        <f t="shared" si="23"/>
        <v>#VALUE!</v>
      </c>
      <c r="AN36" s="34" t="e">
        <f t="shared" si="24"/>
        <v>#VALUE!</v>
      </c>
    </row>
    <row r="37" spans="5:40" x14ac:dyDescent="0.25">
      <c r="E37" s="25">
        <f t="shared" si="11"/>
        <v>34</v>
      </c>
      <c r="F37" s="26" t="str">
        <f t="shared" si="12"/>
        <v/>
      </c>
      <c r="G37" s="27" t="str">
        <f t="shared" si="13"/>
        <v/>
      </c>
      <c r="H37" s="28" t="str">
        <f t="shared" si="0"/>
        <v/>
      </c>
      <c r="I37" s="3" t="str">
        <f t="shared" si="14"/>
        <v/>
      </c>
      <c r="J37" s="3" t="str">
        <f t="shared" si="1"/>
        <v xml:space="preserve"> </v>
      </c>
      <c r="K37" s="3" t="str">
        <f t="shared" si="15"/>
        <v/>
      </c>
      <c r="L37" s="30" t="str">
        <f t="shared" si="2"/>
        <v/>
      </c>
      <c r="M37" s="29" t="str">
        <f t="shared" si="16"/>
        <v/>
      </c>
      <c r="N37" s="29" t="str">
        <f t="shared" si="17"/>
        <v/>
      </c>
      <c r="O37" s="29" t="str">
        <f t="shared" si="3"/>
        <v/>
      </c>
      <c r="P37" s="29" t="str">
        <f t="shared" si="4"/>
        <v/>
      </c>
      <c r="Q37" s="29" t="str">
        <f t="shared" si="5"/>
        <v/>
      </c>
      <c r="R37" s="23" t="str">
        <f t="shared" si="6"/>
        <v/>
      </c>
      <c r="S37" s="5" t="str">
        <f t="shared" si="18"/>
        <v/>
      </c>
      <c r="T37" s="5" t="str">
        <f t="shared" si="19"/>
        <v/>
      </c>
      <c r="U37" s="5" t="str">
        <f t="shared" si="20"/>
        <v/>
      </c>
      <c r="V37" s="4" t="str">
        <f t="shared" si="25"/>
        <v/>
      </c>
      <c r="W37" s="6" t="str">
        <f t="shared" si="8"/>
        <v/>
      </c>
      <c r="X37" s="22" t="str">
        <f t="shared" si="9"/>
        <v/>
      </c>
      <c r="Y37" s="22" t="str">
        <f t="shared" si="10"/>
        <v/>
      </c>
      <c r="Z37" s="22"/>
      <c r="AA37" s="1">
        <v>34</v>
      </c>
      <c r="AB37" s="1">
        <v>1</v>
      </c>
      <c r="AC37" s="1" t="s">
        <v>38</v>
      </c>
      <c r="AD37" s="2">
        <v>44793</v>
      </c>
      <c r="AE37" s="2">
        <v>43780</v>
      </c>
      <c r="AF37" s="36">
        <v>28.74</v>
      </c>
      <c r="AG37" s="36">
        <v>12.4</v>
      </c>
      <c r="AH37" s="36">
        <v>16.34</v>
      </c>
      <c r="AI37" s="36">
        <v>1.04</v>
      </c>
      <c r="AK37" s="34" t="e">
        <f t="shared" si="21"/>
        <v>#VALUE!</v>
      </c>
      <c r="AL37" s="34" t="e">
        <f t="shared" si="22"/>
        <v>#VALUE!</v>
      </c>
      <c r="AM37" s="34" t="e">
        <f t="shared" si="23"/>
        <v>#VALUE!</v>
      </c>
      <c r="AN37" s="34" t="e">
        <f t="shared" si="24"/>
        <v>#VALUE!</v>
      </c>
    </row>
    <row r="38" spans="5:40" x14ac:dyDescent="0.25">
      <c r="E38" s="25">
        <f t="shared" si="11"/>
        <v>35</v>
      </c>
      <c r="F38" s="26" t="str">
        <f t="shared" si="12"/>
        <v/>
      </c>
      <c r="G38" s="27" t="str">
        <f t="shared" si="13"/>
        <v/>
      </c>
      <c r="H38" s="28" t="str">
        <f t="shared" si="0"/>
        <v/>
      </c>
      <c r="I38" s="3" t="str">
        <f t="shared" si="14"/>
        <v/>
      </c>
      <c r="J38" s="3" t="str">
        <f t="shared" si="1"/>
        <v xml:space="preserve"> </v>
      </c>
      <c r="K38" s="3" t="str">
        <f t="shared" si="15"/>
        <v/>
      </c>
      <c r="L38" s="30" t="str">
        <f t="shared" si="2"/>
        <v/>
      </c>
      <c r="M38" s="29" t="str">
        <f t="shared" si="16"/>
        <v/>
      </c>
      <c r="N38" s="29" t="str">
        <f t="shared" si="17"/>
        <v/>
      </c>
      <c r="O38" s="29" t="str">
        <f t="shared" si="3"/>
        <v/>
      </c>
      <c r="P38" s="29" t="str">
        <f t="shared" si="4"/>
        <v/>
      </c>
      <c r="Q38" s="29" t="str">
        <f t="shared" si="5"/>
        <v/>
      </c>
      <c r="R38" s="23" t="str">
        <f t="shared" si="6"/>
        <v/>
      </c>
      <c r="S38" s="5" t="str">
        <f t="shared" si="18"/>
        <v/>
      </c>
      <c r="T38" s="5" t="str">
        <f t="shared" si="19"/>
        <v/>
      </c>
      <c r="U38" s="5" t="str">
        <f t="shared" si="20"/>
        <v/>
      </c>
      <c r="V38" s="4" t="str">
        <f t="shared" si="25"/>
        <v/>
      </c>
      <c r="W38" s="6" t="str">
        <f t="shared" si="8"/>
        <v/>
      </c>
      <c r="X38" s="22" t="str">
        <f t="shared" si="9"/>
        <v/>
      </c>
      <c r="Y38" s="22" t="str">
        <f t="shared" si="10"/>
        <v/>
      </c>
      <c r="Z38" s="22"/>
      <c r="AA38" s="1">
        <v>35</v>
      </c>
      <c r="AB38" s="1">
        <v>1</v>
      </c>
      <c r="AC38" s="1" t="s">
        <v>38</v>
      </c>
      <c r="AD38" s="2">
        <v>44824</v>
      </c>
      <c r="AE38" s="2">
        <v>43780</v>
      </c>
      <c r="AF38" s="36">
        <v>28.74</v>
      </c>
      <c r="AG38" s="36">
        <v>12.79</v>
      </c>
      <c r="AH38" s="36">
        <v>15.95</v>
      </c>
      <c r="AI38" s="36">
        <v>1.01</v>
      </c>
      <c r="AK38" s="34" t="e">
        <f t="shared" si="21"/>
        <v>#VALUE!</v>
      </c>
      <c r="AL38" s="34" t="e">
        <f t="shared" si="22"/>
        <v>#VALUE!</v>
      </c>
      <c r="AM38" s="34" t="e">
        <f t="shared" si="23"/>
        <v>#VALUE!</v>
      </c>
      <c r="AN38" s="34" t="e">
        <f t="shared" si="24"/>
        <v>#VALUE!</v>
      </c>
    </row>
    <row r="39" spans="5:40" x14ac:dyDescent="0.25">
      <c r="E39" s="25">
        <f t="shared" si="11"/>
        <v>36</v>
      </c>
      <c r="F39" s="26" t="str">
        <f t="shared" si="12"/>
        <v/>
      </c>
      <c r="G39" s="27" t="str">
        <f t="shared" si="13"/>
        <v/>
      </c>
      <c r="H39" s="28" t="str">
        <f t="shared" si="0"/>
        <v/>
      </c>
      <c r="I39" s="3" t="str">
        <f t="shared" si="14"/>
        <v/>
      </c>
      <c r="J39" s="3" t="str">
        <f t="shared" si="1"/>
        <v xml:space="preserve"> </v>
      </c>
      <c r="K39" s="3" t="str">
        <f t="shared" si="15"/>
        <v/>
      </c>
      <c r="L39" s="30" t="str">
        <f t="shared" si="2"/>
        <v/>
      </c>
      <c r="M39" s="29" t="str">
        <f t="shared" si="16"/>
        <v/>
      </c>
      <c r="N39" s="29" t="str">
        <f t="shared" si="17"/>
        <v/>
      </c>
      <c r="O39" s="29" t="str">
        <f t="shared" si="3"/>
        <v/>
      </c>
      <c r="P39" s="29" t="str">
        <f t="shared" si="4"/>
        <v/>
      </c>
      <c r="Q39" s="29" t="str">
        <f t="shared" si="5"/>
        <v/>
      </c>
      <c r="R39" s="23" t="str">
        <f t="shared" si="6"/>
        <v/>
      </c>
      <c r="S39" s="5" t="str">
        <f t="shared" si="18"/>
        <v/>
      </c>
      <c r="T39" s="5" t="str">
        <f t="shared" si="19"/>
        <v/>
      </c>
      <c r="U39" s="5" t="str">
        <f t="shared" si="20"/>
        <v/>
      </c>
      <c r="V39" s="4" t="str">
        <f t="shared" si="25"/>
        <v/>
      </c>
      <c r="W39" s="6" t="str">
        <f t="shared" si="8"/>
        <v/>
      </c>
      <c r="X39" s="22" t="str">
        <f t="shared" si="9"/>
        <v/>
      </c>
      <c r="Y39" s="22" t="str">
        <f t="shared" si="10"/>
        <v/>
      </c>
      <c r="Z39" s="22"/>
      <c r="AA39" s="1">
        <v>36</v>
      </c>
      <c r="AB39" s="1">
        <v>1</v>
      </c>
      <c r="AC39" s="1" t="s">
        <v>38</v>
      </c>
      <c r="AD39" s="2">
        <v>44854</v>
      </c>
      <c r="AE39" s="2">
        <v>43780</v>
      </c>
      <c r="AF39" s="36">
        <v>28.74</v>
      </c>
      <c r="AG39" s="36">
        <v>13.69</v>
      </c>
      <c r="AH39" s="36">
        <v>15.05</v>
      </c>
      <c r="AI39" s="36">
        <v>0.99</v>
      </c>
      <c r="AK39" s="34" t="e">
        <f t="shared" si="21"/>
        <v>#VALUE!</v>
      </c>
      <c r="AL39" s="34" t="e">
        <f t="shared" si="22"/>
        <v>#VALUE!</v>
      </c>
      <c r="AM39" s="34" t="e">
        <f t="shared" si="23"/>
        <v>#VALUE!</v>
      </c>
      <c r="AN39" s="34" t="e">
        <f t="shared" si="24"/>
        <v>#VALUE!</v>
      </c>
    </row>
    <row r="40" spans="5:40" x14ac:dyDescent="0.25">
      <c r="E40" s="25">
        <f t="shared" si="11"/>
        <v>37</v>
      </c>
      <c r="F40" s="26" t="str">
        <f t="shared" si="12"/>
        <v/>
      </c>
      <c r="G40" s="27" t="str">
        <f t="shared" si="13"/>
        <v/>
      </c>
      <c r="H40" s="28" t="str">
        <f t="shared" si="0"/>
        <v/>
      </c>
      <c r="I40" s="3" t="str">
        <f t="shared" si="14"/>
        <v/>
      </c>
      <c r="J40" s="3" t="str">
        <f t="shared" si="1"/>
        <v xml:space="preserve"> </v>
      </c>
      <c r="K40" s="3" t="str">
        <f t="shared" si="15"/>
        <v/>
      </c>
      <c r="L40" s="30" t="str">
        <f t="shared" si="2"/>
        <v/>
      </c>
      <c r="M40" s="29" t="str">
        <f t="shared" si="16"/>
        <v/>
      </c>
      <c r="N40" s="29" t="str">
        <f t="shared" si="17"/>
        <v/>
      </c>
      <c r="O40" s="29" t="str">
        <f t="shared" si="3"/>
        <v/>
      </c>
      <c r="P40" s="29" t="str">
        <f t="shared" si="4"/>
        <v/>
      </c>
      <c r="Q40" s="29" t="str">
        <f t="shared" si="5"/>
        <v/>
      </c>
      <c r="R40" s="23" t="str">
        <f t="shared" si="6"/>
        <v/>
      </c>
      <c r="S40" s="5" t="str">
        <f t="shared" si="18"/>
        <v/>
      </c>
      <c r="T40" s="5" t="str">
        <f t="shared" si="19"/>
        <v/>
      </c>
      <c r="U40" s="5" t="str">
        <f t="shared" si="20"/>
        <v/>
      </c>
      <c r="V40" s="4" t="str">
        <f t="shared" si="25"/>
        <v/>
      </c>
      <c r="W40" s="6" t="str">
        <f t="shared" si="8"/>
        <v/>
      </c>
      <c r="X40" s="22" t="str">
        <f t="shared" si="9"/>
        <v/>
      </c>
      <c r="Y40" s="22" t="str">
        <f t="shared" si="10"/>
        <v/>
      </c>
      <c r="Z40" s="22"/>
      <c r="AA40" s="1">
        <v>37</v>
      </c>
      <c r="AB40" s="1">
        <v>1</v>
      </c>
      <c r="AC40" s="1" t="s">
        <v>38</v>
      </c>
      <c r="AD40" s="2">
        <v>44885</v>
      </c>
      <c r="AE40" s="2">
        <v>43780</v>
      </c>
      <c r="AF40" s="36">
        <v>28.74</v>
      </c>
      <c r="AG40" s="36">
        <v>13.62</v>
      </c>
      <c r="AH40" s="36">
        <v>15.12</v>
      </c>
      <c r="AI40" s="36">
        <v>0.96</v>
      </c>
      <c r="AK40" s="34" t="e">
        <f t="shared" si="21"/>
        <v>#VALUE!</v>
      </c>
      <c r="AL40" s="34" t="e">
        <f t="shared" si="22"/>
        <v>#VALUE!</v>
      </c>
      <c r="AM40" s="34" t="e">
        <f t="shared" si="23"/>
        <v>#VALUE!</v>
      </c>
      <c r="AN40" s="34" t="e">
        <f t="shared" si="24"/>
        <v>#VALUE!</v>
      </c>
    </row>
    <row r="41" spans="5:40" x14ac:dyDescent="0.25">
      <c r="E41" s="25">
        <f t="shared" si="11"/>
        <v>38</v>
      </c>
      <c r="F41" s="26" t="str">
        <f t="shared" si="12"/>
        <v/>
      </c>
      <c r="G41" s="27" t="str">
        <f t="shared" si="13"/>
        <v/>
      </c>
      <c r="H41" s="28" t="str">
        <f t="shared" si="0"/>
        <v/>
      </c>
      <c r="I41" s="3" t="str">
        <f t="shared" si="14"/>
        <v/>
      </c>
      <c r="J41" s="3" t="str">
        <f t="shared" si="1"/>
        <v xml:space="preserve"> </v>
      </c>
      <c r="K41" s="3" t="str">
        <f t="shared" si="15"/>
        <v/>
      </c>
      <c r="L41" s="30" t="str">
        <f t="shared" si="2"/>
        <v/>
      </c>
      <c r="M41" s="29" t="str">
        <f t="shared" si="16"/>
        <v/>
      </c>
      <c r="N41" s="29" t="str">
        <f t="shared" si="17"/>
        <v/>
      </c>
      <c r="O41" s="29" t="str">
        <f t="shared" si="3"/>
        <v/>
      </c>
      <c r="P41" s="29" t="str">
        <f t="shared" si="4"/>
        <v/>
      </c>
      <c r="Q41" s="29" t="str">
        <f t="shared" si="5"/>
        <v/>
      </c>
      <c r="R41" s="23" t="str">
        <f t="shared" si="6"/>
        <v/>
      </c>
      <c r="S41" s="5" t="str">
        <f t="shared" si="18"/>
        <v/>
      </c>
      <c r="T41" s="5" t="str">
        <f t="shared" si="19"/>
        <v/>
      </c>
      <c r="U41" s="5" t="str">
        <f t="shared" si="20"/>
        <v/>
      </c>
      <c r="V41" s="4" t="str">
        <f t="shared" si="25"/>
        <v/>
      </c>
      <c r="W41" s="6" t="str">
        <f t="shared" si="8"/>
        <v/>
      </c>
      <c r="X41" s="22" t="str">
        <f t="shared" si="9"/>
        <v/>
      </c>
      <c r="Y41" s="22" t="str">
        <f t="shared" si="10"/>
        <v/>
      </c>
      <c r="Z41" s="22"/>
      <c r="AA41" s="1">
        <v>38</v>
      </c>
      <c r="AB41" s="1">
        <v>1</v>
      </c>
      <c r="AC41" s="1" t="s">
        <v>38</v>
      </c>
      <c r="AD41" s="2">
        <v>44915</v>
      </c>
      <c r="AE41" s="2">
        <v>43780</v>
      </c>
      <c r="AF41" s="36">
        <v>28.74</v>
      </c>
      <c r="AG41" s="36">
        <v>14.52</v>
      </c>
      <c r="AH41" s="36">
        <v>14.22</v>
      </c>
      <c r="AI41" s="36">
        <v>0.93</v>
      </c>
      <c r="AK41" s="34" t="e">
        <f t="shared" si="21"/>
        <v>#VALUE!</v>
      </c>
      <c r="AL41" s="34" t="e">
        <f t="shared" si="22"/>
        <v>#VALUE!</v>
      </c>
      <c r="AM41" s="34" t="e">
        <f t="shared" si="23"/>
        <v>#VALUE!</v>
      </c>
      <c r="AN41" s="34" t="e">
        <f t="shared" si="24"/>
        <v>#VALUE!</v>
      </c>
    </row>
    <row r="42" spans="5:40" x14ac:dyDescent="0.25">
      <c r="E42" s="25">
        <f t="shared" si="11"/>
        <v>39</v>
      </c>
      <c r="F42" s="26" t="str">
        <f t="shared" si="12"/>
        <v/>
      </c>
      <c r="G42" s="27" t="str">
        <f t="shared" si="13"/>
        <v/>
      </c>
      <c r="H42" s="28" t="str">
        <f t="shared" si="0"/>
        <v/>
      </c>
      <c r="I42" s="3" t="str">
        <f t="shared" si="14"/>
        <v/>
      </c>
      <c r="J42" s="3" t="str">
        <f t="shared" si="1"/>
        <v xml:space="preserve"> </v>
      </c>
      <c r="K42" s="3" t="str">
        <f t="shared" si="15"/>
        <v/>
      </c>
      <c r="L42" s="30" t="str">
        <f t="shared" si="2"/>
        <v/>
      </c>
      <c r="M42" s="29" t="str">
        <f t="shared" si="16"/>
        <v/>
      </c>
      <c r="N42" s="29" t="str">
        <f t="shared" si="17"/>
        <v/>
      </c>
      <c r="O42" s="29" t="str">
        <f t="shared" si="3"/>
        <v/>
      </c>
      <c r="P42" s="29" t="str">
        <f t="shared" si="4"/>
        <v/>
      </c>
      <c r="Q42" s="29" t="str">
        <f t="shared" si="5"/>
        <v/>
      </c>
      <c r="R42" s="23" t="str">
        <f t="shared" si="6"/>
        <v/>
      </c>
      <c r="S42" s="5" t="str">
        <f t="shared" si="18"/>
        <v/>
      </c>
      <c r="T42" s="5" t="str">
        <f t="shared" si="19"/>
        <v/>
      </c>
      <c r="U42" s="5" t="str">
        <f t="shared" si="20"/>
        <v/>
      </c>
      <c r="V42" s="4" t="str">
        <f t="shared" si="25"/>
        <v/>
      </c>
      <c r="W42" s="6" t="str">
        <f t="shared" si="8"/>
        <v/>
      </c>
      <c r="X42" s="22" t="str">
        <f t="shared" si="9"/>
        <v/>
      </c>
      <c r="Y42" s="22" t="str">
        <f t="shared" si="10"/>
        <v/>
      </c>
      <c r="Z42" s="22"/>
      <c r="AA42" s="1">
        <v>39</v>
      </c>
      <c r="AB42" s="1">
        <v>1</v>
      </c>
      <c r="AC42" s="1" t="s">
        <v>38</v>
      </c>
      <c r="AD42" s="2">
        <v>44946</v>
      </c>
      <c r="AE42" s="2">
        <v>43780</v>
      </c>
      <c r="AF42" s="36">
        <v>28.74</v>
      </c>
      <c r="AG42" s="36">
        <v>14.5</v>
      </c>
      <c r="AH42" s="36">
        <v>14.24</v>
      </c>
      <c r="AI42" s="36">
        <v>0.9</v>
      </c>
      <c r="AK42" s="34" t="e">
        <f t="shared" si="21"/>
        <v>#VALUE!</v>
      </c>
      <c r="AL42" s="34" t="e">
        <f t="shared" si="22"/>
        <v>#VALUE!</v>
      </c>
      <c r="AM42" s="34" t="e">
        <f t="shared" si="23"/>
        <v>#VALUE!</v>
      </c>
      <c r="AN42" s="34" t="e">
        <f t="shared" si="24"/>
        <v>#VALUE!</v>
      </c>
    </row>
    <row r="43" spans="5:40" x14ac:dyDescent="0.25">
      <c r="E43" s="25">
        <f t="shared" si="11"/>
        <v>40</v>
      </c>
      <c r="F43" s="26" t="str">
        <f t="shared" si="12"/>
        <v/>
      </c>
      <c r="G43" s="27" t="str">
        <f t="shared" si="13"/>
        <v/>
      </c>
      <c r="H43" s="28" t="str">
        <f t="shared" si="0"/>
        <v/>
      </c>
      <c r="I43" s="3" t="str">
        <f t="shared" si="14"/>
        <v/>
      </c>
      <c r="J43" s="3" t="str">
        <f t="shared" si="1"/>
        <v xml:space="preserve"> </v>
      </c>
      <c r="K43" s="3" t="str">
        <f t="shared" si="15"/>
        <v/>
      </c>
      <c r="L43" s="30" t="str">
        <f t="shared" si="2"/>
        <v/>
      </c>
      <c r="M43" s="29" t="str">
        <f t="shared" si="16"/>
        <v/>
      </c>
      <c r="N43" s="29" t="str">
        <f>IFERROR(IF(AND(R42="N",R43="Y"),SUM(X43:Y43),IF(AND(R42="Y",R43="N"),SUM(X43:Y43),ROUND((M43+(0*(-1)))*(H43)+(0*(-1)),2))),"")</f>
        <v/>
      </c>
      <c r="O43" s="29" t="str">
        <f t="shared" si="3"/>
        <v/>
      </c>
      <c r="P43" s="29" t="str">
        <f t="shared" si="4"/>
        <v/>
      </c>
      <c r="Q43" s="29" t="str">
        <f t="shared" si="5"/>
        <v/>
      </c>
      <c r="R43" s="23" t="str">
        <f t="shared" si="6"/>
        <v/>
      </c>
      <c r="S43" s="5" t="str">
        <f t="shared" si="18"/>
        <v/>
      </c>
      <c r="T43" s="5" t="str">
        <f t="shared" si="19"/>
        <v/>
      </c>
      <c r="U43" s="5" t="str">
        <f t="shared" si="20"/>
        <v/>
      </c>
      <c r="V43" s="4" t="str">
        <f t="shared" si="25"/>
        <v/>
      </c>
      <c r="W43" s="6" t="str">
        <f t="shared" si="8"/>
        <v/>
      </c>
      <c r="X43" s="22" t="str">
        <f t="shared" si="9"/>
        <v/>
      </c>
      <c r="Y43" s="22" t="str">
        <f t="shared" si="10"/>
        <v/>
      </c>
      <c r="Z43" s="22"/>
      <c r="AA43" s="1">
        <v>40</v>
      </c>
      <c r="AB43" s="1">
        <v>1</v>
      </c>
      <c r="AC43" s="1" t="s">
        <v>38</v>
      </c>
      <c r="AD43" s="2">
        <v>44977</v>
      </c>
      <c r="AE43" s="2">
        <v>43780</v>
      </c>
      <c r="AF43" s="36">
        <v>28.74</v>
      </c>
      <c r="AG43" s="36">
        <v>14.95</v>
      </c>
      <c r="AH43" s="36">
        <v>13.79</v>
      </c>
      <c r="AI43" s="36">
        <v>0.88</v>
      </c>
      <c r="AK43" s="34" t="e">
        <f t="shared" si="21"/>
        <v>#VALUE!</v>
      </c>
      <c r="AL43" s="34" t="e">
        <f t="shared" si="22"/>
        <v>#VALUE!</v>
      </c>
      <c r="AM43" s="34" t="e">
        <f t="shared" si="23"/>
        <v>#VALUE!</v>
      </c>
      <c r="AN43" s="34" t="e">
        <f t="shared" si="24"/>
        <v>#VALUE!</v>
      </c>
    </row>
    <row r="44" spans="5:40" x14ac:dyDescent="0.25">
      <c r="E44" s="25">
        <f t="shared" si="11"/>
        <v>41</v>
      </c>
      <c r="F44" s="26" t="str">
        <f t="shared" si="12"/>
        <v/>
      </c>
      <c r="G44" s="27" t="str">
        <f t="shared" si="13"/>
        <v/>
      </c>
      <c r="H44" s="28" t="str">
        <f t="shared" si="0"/>
        <v/>
      </c>
      <c r="I44" s="3" t="str">
        <f t="shared" si="14"/>
        <v/>
      </c>
      <c r="J44" s="3" t="str">
        <f t="shared" si="1"/>
        <v xml:space="preserve"> </v>
      </c>
      <c r="K44" s="3" t="str">
        <f t="shared" si="15"/>
        <v/>
      </c>
      <c r="L44" s="30" t="str">
        <f t="shared" si="2"/>
        <v/>
      </c>
      <c r="M44" s="29" t="str">
        <f t="shared" si="16"/>
        <v/>
      </c>
      <c r="N44" s="29" t="str">
        <f t="shared" si="17"/>
        <v/>
      </c>
      <c r="O44" s="29" t="str">
        <f t="shared" si="3"/>
        <v/>
      </c>
      <c r="P44" s="29" t="str">
        <f t="shared" si="4"/>
        <v/>
      </c>
      <c r="Q44" s="29" t="str">
        <f t="shared" si="5"/>
        <v/>
      </c>
      <c r="R44" s="23" t="str">
        <f t="shared" si="6"/>
        <v/>
      </c>
      <c r="S44" s="5" t="str">
        <f t="shared" si="18"/>
        <v/>
      </c>
      <c r="T44" s="5" t="str">
        <f t="shared" si="19"/>
        <v/>
      </c>
      <c r="U44" s="5" t="str">
        <f t="shared" si="20"/>
        <v/>
      </c>
      <c r="V44" s="4" t="str">
        <f t="shared" si="25"/>
        <v/>
      </c>
      <c r="W44" s="6" t="str">
        <f t="shared" si="8"/>
        <v/>
      </c>
      <c r="X44" s="22" t="str">
        <f t="shared" si="9"/>
        <v/>
      </c>
      <c r="Y44" s="22" t="str">
        <f t="shared" si="10"/>
        <v/>
      </c>
      <c r="Z44" s="22"/>
      <c r="AA44" s="1">
        <v>41</v>
      </c>
      <c r="AB44" s="1">
        <v>1</v>
      </c>
      <c r="AC44" s="1" t="s">
        <v>38</v>
      </c>
      <c r="AD44" s="2">
        <v>45005</v>
      </c>
      <c r="AE44" s="2">
        <v>43780</v>
      </c>
      <c r="AF44" s="36">
        <v>28.74</v>
      </c>
      <c r="AG44" s="36">
        <v>16.71</v>
      </c>
      <c r="AH44" s="36">
        <v>12.03</v>
      </c>
      <c r="AI44" s="36">
        <v>0.85</v>
      </c>
      <c r="AK44" s="34" t="e">
        <f t="shared" si="21"/>
        <v>#VALUE!</v>
      </c>
      <c r="AL44" s="34" t="e">
        <f t="shared" si="22"/>
        <v>#VALUE!</v>
      </c>
      <c r="AM44" s="34" t="e">
        <f t="shared" si="23"/>
        <v>#VALUE!</v>
      </c>
      <c r="AN44" s="34" t="e">
        <f t="shared" si="24"/>
        <v>#VALUE!</v>
      </c>
    </row>
    <row r="45" spans="5:40" x14ac:dyDescent="0.25">
      <c r="E45" s="25">
        <f t="shared" si="11"/>
        <v>42</v>
      </c>
      <c r="F45" s="26" t="str">
        <f t="shared" si="12"/>
        <v/>
      </c>
      <c r="G45" s="27" t="str">
        <f t="shared" si="13"/>
        <v/>
      </c>
      <c r="H45" s="28" t="str">
        <f t="shared" si="0"/>
        <v/>
      </c>
      <c r="I45" s="3" t="str">
        <f t="shared" si="14"/>
        <v/>
      </c>
      <c r="J45" s="3" t="str">
        <f t="shared" si="1"/>
        <v xml:space="preserve"> </v>
      </c>
      <c r="K45" s="3" t="str">
        <f t="shared" si="15"/>
        <v/>
      </c>
      <c r="L45" s="30" t="str">
        <f t="shared" si="2"/>
        <v/>
      </c>
      <c r="M45" s="29" t="str">
        <f t="shared" si="16"/>
        <v/>
      </c>
      <c r="N45" s="29" t="str">
        <f t="shared" si="17"/>
        <v/>
      </c>
      <c r="O45" s="29" t="str">
        <f t="shared" si="3"/>
        <v/>
      </c>
      <c r="P45" s="29" t="str">
        <f t="shared" si="4"/>
        <v/>
      </c>
      <c r="Q45" s="29" t="str">
        <f t="shared" si="5"/>
        <v/>
      </c>
      <c r="R45" s="23" t="str">
        <f t="shared" si="6"/>
        <v/>
      </c>
      <c r="S45" s="5" t="str">
        <f t="shared" si="18"/>
        <v/>
      </c>
      <c r="T45" s="5" t="str">
        <f t="shared" si="19"/>
        <v/>
      </c>
      <c r="U45" s="5" t="str">
        <f t="shared" si="20"/>
        <v/>
      </c>
      <c r="V45" s="4" t="str">
        <f t="shared" si="25"/>
        <v/>
      </c>
      <c r="W45" s="6" t="str">
        <f t="shared" si="8"/>
        <v/>
      </c>
      <c r="X45" s="22" t="str">
        <f t="shared" si="9"/>
        <v/>
      </c>
      <c r="Y45" s="22" t="str">
        <f t="shared" si="10"/>
        <v/>
      </c>
      <c r="Z45" s="22"/>
      <c r="AA45" s="1">
        <v>42</v>
      </c>
      <c r="AB45" s="1">
        <v>1</v>
      </c>
      <c r="AC45" s="1" t="s">
        <v>38</v>
      </c>
      <c r="AD45" s="2">
        <v>45036</v>
      </c>
      <c r="AE45" s="2">
        <v>43780</v>
      </c>
      <c r="AF45" s="36">
        <v>28.74</v>
      </c>
      <c r="AG45" s="36">
        <v>15.95</v>
      </c>
      <c r="AH45" s="36">
        <v>12.79</v>
      </c>
      <c r="AI45" s="36">
        <v>0.81</v>
      </c>
      <c r="AK45" s="34" t="e">
        <f t="shared" si="21"/>
        <v>#VALUE!</v>
      </c>
      <c r="AL45" s="34" t="e">
        <f t="shared" si="22"/>
        <v>#VALUE!</v>
      </c>
      <c r="AM45" s="34" t="e">
        <f t="shared" si="23"/>
        <v>#VALUE!</v>
      </c>
      <c r="AN45" s="34" t="e">
        <f t="shared" si="24"/>
        <v>#VALUE!</v>
      </c>
    </row>
    <row r="46" spans="5:40" x14ac:dyDescent="0.25">
      <c r="E46" s="25">
        <f t="shared" si="11"/>
        <v>43</v>
      </c>
      <c r="F46" s="26" t="str">
        <f t="shared" si="12"/>
        <v/>
      </c>
      <c r="G46" s="27" t="str">
        <f t="shared" si="13"/>
        <v/>
      </c>
      <c r="H46" s="28" t="str">
        <f t="shared" si="0"/>
        <v/>
      </c>
      <c r="I46" s="3" t="str">
        <f t="shared" si="14"/>
        <v/>
      </c>
      <c r="J46" s="3" t="str">
        <f t="shared" si="1"/>
        <v xml:space="preserve"> </v>
      </c>
      <c r="K46" s="3" t="str">
        <f t="shared" si="15"/>
        <v/>
      </c>
      <c r="L46" s="30" t="str">
        <f t="shared" si="2"/>
        <v/>
      </c>
      <c r="M46" s="29" t="str">
        <f t="shared" si="16"/>
        <v/>
      </c>
      <c r="N46" s="29" t="str">
        <f t="shared" si="17"/>
        <v/>
      </c>
      <c r="O46" s="29" t="str">
        <f t="shared" si="3"/>
        <v/>
      </c>
      <c r="P46" s="29" t="str">
        <f t="shared" si="4"/>
        <v/>
      </c>
      <c r="Q46" s="29" t="str">
        <f t="shared" si="5"/>
        <v/>
      </c>
      <c r="R46" s="23" t="str">
        <f t="shared" si="6"/>
        <v/>
      </c>
      <c r="S46" s="5" t="str">
        <f t="shared" si="18"/>
        <v/>
      </c>
      <c r="T46" s="5" t="str">
        <f t="shared" si="19"/>
        <v/>
      </c>
      <c r="U46" s="5" t="str">
        <f t="shared" si="20"/>
        <v/>
      </c>
      <c r="V46" s="4" t="str">
        <f t="shared" si="25"/>
        <v/>
      </c>
      <c r="W46" s="6" t="str">
        <f t="shared" si="8"/>
        <v/>
      </c>
      <c r="X46" s="22" t="str">
        <f t="shared" si="9"/>
        <v/>
      </c>
      <c r="Y46" s="22" t="str">
        <f t="shared" si="10"/>
        <v/>
      </c>
      <c r="Z46" s="22"/>
      <c r="AA46" s="1">
        <v>43</v>
      </c>
      <c r="AB46" s="1">
        <v>1</v>
      </c>
      <c r="AC46" s="1" t="s">
        <v>38</v>
      </c>
      <c r="AD46" s="2">
        <v>45066</v>
      </c>
      <c r="AE46" s="2">
        <v>43780</v>
      </c>
      <c r="AF46" s="36">
        <v>28.74</v>
      </c>
      <c r="AG46" s="36">
        <v>16.84</v>
      </c>
      <c r="AH46" s="36">
        <v>11.9</v>
      </c>
      <c r="AI46" s="36">
        <v>0.78</v>
      </c>
      <c r="AK46" s="34" t="e">
        <f t="shared" si="21"/>
        <v>#VALUE!</v>
      </c>
      <c r="AL46" s="34" t="e">
        <f t="shared" si="22"/>
        <v>#VALUE!</v>
      </c>
      <c r="AM46" s="34" t="e">
        <f t="shared" si="23"/>
        <v>#VALUE!</v>
      </c>
      <c r="AN46" s="34" t="e">
        <f t="shared" si="24"/>
        <v>#VALUE!</v>
      </c>
    </row>
    <row r="47" spans="5:40" x14ac:dyDescent="0.25">
      <c r="E47" s="25">
        <f t="shared" si="11"/>
        <v>44</v>
      </c>
      <c r="F47" s="26" t="str">
        <f t="shared" si="12"/>
        <v/>
      </c>
      <c r="G47" s="27" t="str">
        <f t="shared" si="13"/>
        <v/>
      </c>
      <c r="H47" s="28" t="str">
        <f t="shared" si="0"/>
        <v/>
      </c>
      <c r="I47" s="3" t="str">
        <f t="shared" si="14"/>
        <v/>
      </c>
      <c r="J47" s="3" t="str">
        <f t="shared" si="1"/>
        <v xml:space="preserve"> </v>
      </c>
      <c r="K47" s="3" t="str">
        <f t="shared" si="15"/>
        <v/>
      </c>
      <c r="L47" s="30" t="str">
        <f t="shared" si="2"/>
        <v/>
      </c>
      <c r="M47" s="29" t="str">
        <f t="shared" si="16"/>
        <v/>
      </c>
      <c r="N47" s="29" t="str">
        <f>IFERROR(IF(AND(R46="N",R47="Y"),SUM(X47:Y47),IF(AND(R46="Y",R47="N"),SUM(X47:Y47),ROUND((M47+(0*(-1)))*(H47)+(0*(-1)),2))),"")</f>
        <v/>
      </c>
      <c r="O47" s="29" t="str">
        <f t="shared" si="3"/>
        <v/>
      </c>
      <c r="P47" s="29" t="str">
        <f t="shared" si="4"/>
        <v/>
      </c>
      <c r="Q47" s="29" t="str">
        <f t="shared" si="5"/>
        <v/>
      </c>
      <c r="R47" s="23" t="str">
        <f t="shared" si="6"/>
        <v/>
      </c>
      <c r="S47" s="5" t="str">
        <f t="shared" si="18"/>
        <v/>
      </c>
      <c r="T47" s="5" t="str">
        <f t="shared" si="19"/>
        <v/>
      </c>
      <c r="U47" s="5" t="str">
        <f t="shared" si="20"/>
        <v/>
      </c>
      <c r="V47" s="4" t="str">
        <f t="shared" si="25"/>
        <v/>
      </c>
      <c r="W47" s="6" t="str">
        <f t="shared" si="8"/>
        <v/>
      </c>
      <c r="X47" s="22" t="str">
        <f t="shared" si="9"/>
        <v/>
      </c>
      <c r="Y47" s="22" t="str">
        <f t="shared" si="10"/>
        <v/>
      </c>
      <c r="Z47" s="22"/>
      <c r="AA47" s="1">
        <v>44</v>
      </c>
      <c r="AB47" s="1">
        <v>1</v>
      </c>
      <c r="AC47" s="1" t="s">
        <v>38</v>
      </c>
      <c r="AD47" s="2">
        <v>45097</v>
      </c>
      <c r="AE47" s="2">
        <v>43780</v>
      </c>
      <c r="AF47" s="36">
        <v>28.74</v>
      </c>
      <c r="AG47" s="36">
        <v>16.97</v>
      </c>
      <c r="AH47" s="36">
        <v>11.77</v>
      </c>
      <c r="AI47" s="36">
        <v>0.75</v>
      </c>
      <c r="AK47" s="34" t="e">
        <f t="shared" si="21"/>
        <v>#VALUE!</v>
      </c>
      <c r="AL47" s="34" t="e">
        <f t="shared" si="22"/>
        <v>#VALUE!</v>
      </c>
      <c r="AM47" s="34" t="e">
        <f t="shared" si="23"/>
        <v>#VALUE!</v>
      </c>
      <c r="AN47" s="34" t="e">
        <f t="shared" si="24"/>
        <v>#VALUE!</v>
      </c>
    </row>
    <row r="48" spans="5:40" x14ac:dyDescent="0.25">
      <c r="E48" s="25">
        <f t="shared" si="11"/>
        <v>45</v>
      </c>
      <c r="F48" s="26" t="str">
        <f t="shared" si="12"/>
        <v/>
      </c>
      <c r="G48" s="27" t="str">
        <f t="shared" si="13"/>
        <v/>
      </c>
      <c r="H48" s="28" t="str">
        <f t="shared" si="0"/>
        <v/>
      </c>
      <c r="I48" s="3" t="str">
        <f t="shared" si="14"/>
        <v/>
      </c>
      <c r="J48" s="3" t="str">
        <f t="shared" si="1"/>
        <v xml:space="preserve"> </v>
      </c>
      <c r="K48" s="3" t="str">
        <f t="shared" si="15"/>
        <v/>
      </c>
      <c r="L48" s="30" t="str">
        <f t="shared" si="2"/>
        <v/>
      </c>
      <c r="M48" s="29" t="str">
        <f t="shared" si="16"/>
        <v/>
      </c>
      <c r="N48" s="29" t="str">
        <f t="shared" si="17"/>
        <v/>
      </c>
      <c r="O48" s="29" t="str">
        <f t="shared" si="3"/>
        <v/>
      </c>
      <c r="P48" s="29" t="str">
        <f t="shared" si="4"/>
        <v/>
      </c>
      <c r="Q48" s="29" t="str">
        <f t="shared" si="5"/>
        <v/>
      </c>
      <c r="R48" s="23" t="str">
        <f t="shared" si="6"/>
        <v/>
      </c>
      <c r="S48" s="5" t="str">
        <f t="shared" si="18"/>
        <v/>
      </c>
      <c r="T48" s="5" t="str">
        <f t="shared" si="19"/>
        <v/>
      </c>
      <c r="U48" s="5" t="str">
        <f t="shared" si="20"/>
        <v/>
      </c>
      <c r="V48" s="4" t="str">
        <f t="shared" si="25"/>
        <v/>
      </c>
      <c r="W48" s="6" t="str">
        <f t="shared" si="8"/>
        <v/>
      </c>
      <c r="X48" s="22" t="str">
        <f t="shared" si="9"/>
        <v/>
      </c>
      <c r="Y48" s="22" t="str">
        <f t="shared" si="10"/>
        <v/>
      </c>
      <c r="Z48" s="22"/>
      <c r="AA48" s="1">
        <v>45</v>
      </c>
      <c r="AB48" s="1">
        <v>1</v>
      </c>
      <c r="AC48" s="1" t="s">
        <v>38</v>
      </c>
      <c r="AD48" s="2">
        <v>45127</v>
      </c>
      <c r="AE48" s="2">
        <v>43780</v>
      </c>
      <c r="AF48" s="36">
        <v>28.74</v>
      </c>
      <c r="AG48" s="36">
        <v>17.87</v>
      </c>
      <c r="AH48" s="36">
        <v>10.87</v>
      </c>
      <c r="AI48" s="36">
        <v>0.71</v>
      </c>
      <c r="AK48" s="34" t="e">
        <f t="shared" si="21"/>
        <v>#VALUE!</v>
      </c>
      <c r="AL48" s="34" t="e">
        <f t="shared" si="22"/>
        <v>#VALUE!</v>
      </c>
      <c r="AM48" s="34" t="e">
        <f t="shared" si="23"/>
        <v>#VALUE!</v>
      </c>
      <c r="AN48" s="34" t="e">
        <f t="shared" si="24"/>
        <v>#VALUE!</v>
      </c>
    </row>
    <row r="49" spans="5:40" x14ac:dyDescent="0.25">
      <c r="E49" s="25">
        <f t="shared" si="11"/>
        <v>46</v>
      </c>
      <c r="F49" s="26" t="str">
        <f t="shared" si="12"/>
        <v/>
      </c>
      <c r="G49" s="27" t="str">
        <f t="shared" si="13"/>
        <v/>
      </c>
      <c r="H49" s="28" t="str">
        <f t="shared" si="0"/>
        <v/>
      </c>
      <c r="I49" s="3" t="str">
        <f t="shared" si="14"/>
        <v/>
      </c>
      <c r="J49" s="3" t="str">
        <f t="shared" si="1"/>
        <v xml:space="preserve"> </v>
      </c>
      <c r="K49" s="3" t="str">
        <f t="shared" si="15"/>
        <v/>
      </c>
      <c r="L49" s="30" t="str">
        <f t="shared" si="2"/>
        <v/>
      </c>
      <c r="M49" s="29" t="str">
        <f t="shared" si="16"/>
        <v/>
      </c>
      <c r="N49" s="29" t="str">
        <f t="shared" si="17"/>
        <v/>
      </c>
      <c r="O49" s="29" t="str">
        <f t="shared" si="3"/>
        <v/>
      </c>
      <c r="P49" s="29" t="str">
        <f t="shared" si="4"/>
        <v/>
      </c>
      <c r="Q49" s="29" t="str">
        <f t="shared" si="5"/>
        <v/>
      </c>
      <c r="R49" s="23" t="str">
        <f t="shared" si="6"/>
        <v/>
      </c>
      <c r="S49" s="5" t="str">
        <f t="shared" si="18"/>
        <v/>
      </c>
      <c r="T49" s="5" t="str">
        <f t="shared" si="19"/>
        <v/>
      </c>
      <c r="U49" s="5" t="str">
        <f t="shared" si="20"/>
        <v/>
      </c>
      <c r="V49" s="4" t="str">
        <f t="shared" si="25"/>
        <v/>
      </c>
      <c r="W49" s="6" t="str">
        <f t="shared" si="8"/>
        <v/>
      </c>
      <c r="X49" s="22" t="str">
        <f t="shared" si="9"/>
        <v/>
      </c>
      <c r="Y49" s="22" t="str">
        <f t="shared" si="10"/>
        <v/>
      </c>
      <c r="Z49" s="22"/>
      <c r="AA49" s="1">
        <v>46</v>
      </c>
      <c r="AB49" s="1">
        <v>1</v>
      </c>
      <c r="AC49" s="1" t="s">
        <v>38</v>
      </c>
      <c r="AD49" s="2">
        <v>45158</v>
      </c>
      <c r="AE49" s="2">
        <v>43780</v>
      </c>
      <c r="AF49" s="36">
        <v>28.74</v>
      </c>
      <c r="AG49" s="36">
        <v>18.07</v>
      </c>
      <c r="AH49" s="36">
        <v>10.67</v>
      </c>
      <c r="AI49" s="36">
        <v>0.68</v>
      </c>
      <c r="AK49" s="34" t="e">
        <f t="shared" si="21"/>
        <v>#VALUE!</v>
      </c>
      <c r="AL49" s="34" t="e">
        <f t="shared" si="22"/>
        <v>#VALUE!</v>
      </c>
      <c r="AM49" s="34" t="e">
        <f t="shared" si="23"/>
        <v>#VALUE!</v>
      </c>
      <c r="AN49" s="34" t="e">
        <f t="shared" si="24"/>
        <v>#VALUE!</v>
      </c>
    </row>
    <row r="50" spans="5:40" x14ac:dyDescent="0.25">
      <c r="E50" s="25">
        <f t="shared" si="11"/>
        <v>47</v>
      </c>
      <c r="F50" s="26" t="str">
        <f t="shared" si="12"/>
        <v/>
      </c>
      <c r="G50" s="27" t="str">
        <f t="shared" si="13"/>
        <v/>
      </c>
      <c r="H50" s="28" t="str">
        <f t="shared" si="0"/>
        <v/>
      </c>
      <c r="I50" s="3" t="str">
        <f t="shared" si="14"/>
        <v/>
      </c>
      <c r="J50" s="3" t="str">
        <f t="shared" si="1"/>
        <v xml:space="preserve"> </v>
      </c>
      <c r="K50" s="3" t="str">
        <f t="shared" si="15"/>
        <v/>
      </c>
      <c r="L50" s="30" t="str">
        <f t="shared" si="2"/>
        <v/>
      </c>
      <c r="M50" s="29" t="str">
        <f t="shared" si="16"/>
        <v/>
      </c>
      <c r="N50" s="29" t="str">
        <f t="shared" si="17"/>
        <v/>
      </c>
      <c r="O50" s="29" t="str">
        <f t="shared" si="3"/>
        <v/>
      </c>
      <c r="P50" s="29" t="str">
        <f t="shared" si="4"/>
        <v/>
      </c>
      <c r="Q50" s="29" t="str">
        <f t="shared" si="5"/>
        <v/>
      </c>
      <c r="R50" s="23" t="str">
        <f t="shared" si="6"/>
        <v/>
      </c>
      <c r="S50" s="5" t="str">
        <f t="shared" si="18"/>
        <v/>
      </c>
      <c r="T50" s="5" t="str">
        <f t="shared" si="19"/>
        <v/>
      </c>
      <c r="U50" s="5" t="str">
        <f t="shared" si="20"/>
        <v/>
      </c>
      <c r="V50" s="4" t="str">
        <f t="shared" si="25"/>
        <v/>
      </c>
      <c r="W50" s="6" t="str">
        <f t="shared" si="8"/>
        <v/>
      </c>
      <c r="X50" s="22" t="str">
        <f t="shared" si="9"/>
        <v/>
      </c>
      <c r="Y50" s="22" t="str">
        <f t="shared" si="10"/>
        <v/>
      </c>
      <c r="Z50" s="22"/>
      <c r="AA50" s="1">
        <v>47</v>
      </c>
      <c r="AB50" s="1">
        <v>1</v>
      </c>
      <c r="AC50" s="1" t="s">
        <v>38</v>
      </c>
      <c r="AD50" s="2">
        <v>45189</v>
      </c>
      <c r="AE50" s="2">
        <v>43780</v>
      </c>
      <c r="AF50" s="36">
        <v>28.74</v>
      </c>
      <c r="AG50" s="36">
        <v>18.63</v>
      </c>
      <c r="AH50" s="36">
        <v>10.11</v>
      </c>
      <c r="AI50" s="36">
        <v>0.64</v>
      </c>
      <c r="AK50" s="34" t="e">
        <f t="shared" si="21"/>
        <v>#VALUE!</v>
      </c>
      <c r="AL50" s="34" t="e">
        <f t="shared" si="22"/>
        <v>#VALUE!</v>
      </c>
      <c r="AM50" s="34" t="e">
        <f t="shared" si="23"/>
        <v>#VALUE!</v>
      </c>
      <c r="AN50" s="34" t="e">
        <f t="shared" si="24"/>
        <v>#VALUE!</v>
      </c>
    </row>
    <row r="51" spans="5:40" x14ac:dyDescent="0.25">
      <c r="E51" s="25">
        <f t="shared" si="11"/>
        <v>48</v>
      </c>
      <c r="F51" s="26" t="str">
        <f t="shared" si="12"/>
        <v/>
      </c>
      <c r="G51" s="27" t="str">
        <f t="shared" si="13"/>
        <v/>
      </c>
      <c r="H51" s="28" t="str">
        <f t="shared" si="0"/>
        <v/>
      </c>
      <c r="I51" s="3" t="str">
        <f t="shared" si="14"/>
        <v/>
      </c>
      <c r="J51" s="3" t="str">
        <f t="shared" si="1"/>
        <v xml:space="preserve"> </v>
      </c>
      <c r="K51" s="3" t="str">
        <f t="shared" si="15"/>
        <v/>
      </c>
      <c r="L51" s="30" t="str">
        <f t="shared" si="2"/>
        <v/>
      </c>
      <c r="M51" s="29" t="str">
        <f t="shared" si="16"/>
        <v/>
      </c>
      <c r="N51" s="29" t="str">
        <f t="shared" si="17"/>
        <v/>
      </c>
      <c r="O51" s="29" t="str">
        <f t="shared" si="3"/>
        <v/>
      </c>
      <c r="P51" s="29" t="str">
        <f t="shared" si="4"/>
        <v/>
      </c>
      <c r="Q51" s="29" t="str">
        <f t="shared" si="5"/>
        <v/>
      </c>
      <c r="R51" s="23" t="str">
        <f t="shared" si="6"/>
        <v/>
      </c>
      <c r="S51" s="5" t="str">
        <f t="shared" si="18"/>
        <v/>
      </c>
      <c r="T51" s="5" t="str">
        <f t="shared" si="19"/>
        <v/>
      </c>
      <c r="U51" s="5" t="str">
        <f t="shared" si="20"/>
        <v/>
      </c>
      <c r="V51" s="4" t="str">
        <f t="shared" si="25"/>
        <v/>
      </c>
      <c r="W51" s="6" t="str">
        <f t="shared" si="8"/>
        <v/>
      </c>
      <c r="X51" s="22" t="str">
        <f t="shared" si="9"/>
        <v/>
      </c>
      <c r="Y51" s="22" t="str">
        <f t="shared" si="10"/>
        <v/>
      </c>
      <c r="Z51" s="22"/>
      <c r="AA51" s="1">
        <v>48</v>
      </c>
      <c r="AB51" s="1">
        <v>1</v>
      </c>
      <c r="AC51" s="1" t="s">
        <v>38</v>
      </c>
      <c r="AD51" s="2">
        <v>45219</v>
      </c>
      <c r="AE51" s="2">
        <v>43780</v>
      </c>
      <c r="AF51" s="36">
        <v>28.74</v>
      </c>
      <c r="AG51" s="36">
        <v>19.52</v>
      </c>
      <c r="AH51" s="36">
        <v>9.2200000000000006</v>
      </c>
      <c r="AI51" s="36">
        <v>0.6</v>
      </c>
      <c r="AK51" s="34" t="e">
        <f t="shared" si="21"/>
        <v>#VALUE!</v>
      </c>
      <c r="AL51" s="34" t="e">
        <f t="shared" si="22"/>
        <v>#VALUE!</v>
      </c>
      <c r="AM51" s="34" t="e">
        <f t="shared" si="23"/>
        <v>#VALUE!</v>
      </c>
      <c r="AN51" s="34" t="e">
        <f t="shared" si="24"/>
        <v>#VALUE!</v>
      </c>
    </row>
    <row r="52" spans="5:40" x14ac:dyDescent="0.25">
      <c r="E52" s="25">
        <f t="shared" si="11"/>
        <v>49</v>
      </c>
      <c r="F52" s="26" t="str">
        <f t="shared" si="12"/>
        <v/>
      </c>
      <c r="G52" s="27" t="str">
        <f t="shared" si="13"/>
        <v/>
      </c>
      <c r="H52" s="28" t="str">
        <f t="shared" si="0"/>
        <v/>
      </c>
      <c r="I52" s="3" t="str">
        <f t="shared" si="14"/>
        <v/>
      </c>
      <c r="J52" s="3" t="str">
        <f t="shared" si="1"/>
        <v xml:space="preserve"> </v>
      </c>
      <c r="K52" s="3" t="str">
        <f t="shared" si="15"/>
        <v/>
      </c>
      <c r="L52" s="30" t="str">
        <f t="shared" si="2"/>
        <v/>
      </c>
      <c r="M52" s="29" t="str">
        <f t="shared" si="16"/>
        <v/>
      </c>
      <c r="N52" s="29" t="str">
        <f t="shared" si="17"/>
        <v/>
      </c>
      <c r="O52" s="29" t="str">
        <f t="shared" si="3"/>
        <v/>
      </c>
      <c r="P52" s="29" t="str">
        <f t="shared" si="4"/>
        <v/>
      </c>
      <c r="Q52" s="29" t="str">
        <f t="shared" si="5"/>
        <v/>
      </c>
      <c r="R52" s="23" t="str">
        <f t="shared" si="6"/>
        <v/>
      </c>
      <c r="S52" s="5" t="str">
        <f t="shared" si="18"/>
        <v/>
      </c>
      <c r="T52" s="5" t="str">
        <f t="shared" si="19"/>
        <v/>
      </c>
      <c r="U52" s="5" t="str">
        <f t="shared" si="20"/>
        <v/>
      </c>
      <c r="V52" s="4" t="str">
        <f t="shared" si="25"/>
        <v/>
      </c>
      <c r="W52" s="6" t="str">
        <f t="shared" si="8"/>
        <v/>
      </c>
      <c r="X52" s="22" t="str">
        <f t="shared" si="9"/>
        <v/>
      </c>
      <c r="Y52" s="22" t="str">
        <f t="shared" si="10"/>
        <v/>
      </c>
      <c r="Z52" s="22"/>
      <c r="AA52" s="1">
        <v>49</v>
      </c>
      <c r="AB52" s="1">
        <v>1</v>
      </c>
      <c r="AC52" s="1" t="s">
        <v>38</v>
      </c>
      <c r="AD52" s="2">
        <v>45250</v>
      </c>
      <c r="AE52" s="2">
        <v>43780</v>
      </c>
      <c r="AF52" s="36">
        <v>28.74</v>
      </c>
      <c r="AG52" s="36">
        <v>19.829999999999998</v>
      </c>
      <c r="AH52" s="36">
        <v>8.91</v>
      </c>
      <c r="AI52" s="36">
        <v>0.56000000000000005</v>
      </c>
      <c r="AK52" s="34" t="e">
        <f t="shared" si="21"/>
        <v>#VALUE!</v>
      </c>
      <c r="AL52" s="34" t="e">
        <f t="shared" si="22"/>
        <v>#VALUE!</v>
      </c>
      <c r="AM52" s="34" t="e">
        <f t="shared" si="23"/>
        <v>#VALUE!</v>
      </c>
      <c r="AN52" s="34" t="e">
        <f t="shared" si="24"/>
        <v>#VALUE!</v>
      </c>
    </row>
    <row r="53" spans="5:40" x14ac:dyDescent="0.25">
      <c r="E53" s="25">
        <f t="shared" si="11"/>
        <v>50</v>
      </c>
      <c r="F53" s="26" t="str">
        <f t="shared" si="12"/>
        <v/>
      </c>
      <c r="G53" s="27" t="str">
        <f t="shared" si="13"/>
        <v/>
      </c>
      <c r="H53" s="28" t="str">
        <f t="shared" si="0"/>
        <v/>
      </c>
      <c r="I53" s="3" t="str">
        <f t="shared" si="14"/>
        <v/>
      </c>
      <c r="J53" s="3" t="str">
        <f t="shared" si="1"/>
        <v xml:space="preserve"> </v>
      </c>
      <c r="K53" s="3" t="str">
        <f t="shared" si="15"/>
        <v/>
      </c>
      <c r="L53" s="30" t="str">
        <f t="shared" si="2"/>
        <v/>
      </c>
      <c r="M53" s="29" t="str">
        <f t="shared" si="16"/>
        <v/>
      </c>
      <c r="N53" s="29" t="str">
        <f t="shared" si="17"/>
        <v/>
      </c>
      <c r="O53" s="29" t="str">
        <f t="shared" si="3"/>
        <v/>
      </c>
      <c r="P53" s="29" t="str">
        <f t="shared" si="4"/>
        <v/>
      </c>
      <c r="Q53" s="29" t="str">
        <f t="shared" si="5"/>
        <v/>
      </c>
      <c r="R53" s="23" t="str">
        <f t="shared" si="6"/>
        <v/>
      </c>
      <c r="S53" s="5" t="str">
        <f t="shared" si="18"/>
        <v/>
      </c>
      <c r="T53" s="5" t="str">
        <f t="shared" si="19"/>
        <v/>
      </c>
      <c r="U53" s="5" t="str">
        <f t="shared" si="20"/>
        <v/>
      </c>
      <c r="V53" s="4" t="str">
        <f t="shared" si="25"/>
        <v/>
      </c>
      <c r="W53" s="6" t="str">
        <f t="shared" si="8"/>
        <v/>
      </c>
      <c r="X53" s="22" t="str">
        <f t="shared" si="9"/>
        <v/>
      </c>
      <c r="Y53" s="22" t="str">
        <f t="shared" si="10"/>
        <v/>
      </c>
      <c r="Z53" s="22"/>
      <c r="AA53" s="1">
        <v>50</v>
      </c>
      <c r="AB53" s="1">
        <v>1</v>
      </c>
      <c r="AC53" s="1" t="s">
        <v>38</v>
      </c>
      <c r="AD53" s="2">
        <v>45280</v>
      </c>
      <c r="AE53" s="2">
        <v>43780</v>
      </c>
      <c r="AF53" s="36">
        <v>28.74</v>
      </c>
      <c r="AG53" s="36">
        <v>20.72</v>
      </c>
      <c r="AH53" s="36">
        <v>8.02</v>
      </c>
      <c r="AI53" s="36">
        <v>0.52</v>
      </c>
      <c r="AK53" s="34" t="e">
        <f t="shared" si="21"/>
        <v>#VALUE!</v>
      </c>
      <c r="AL53" s="34" t="e">
        <f t="shared" si="22"/>
        <v>#VALUE!</v>
      </c>
      <c r="AM53" s="34" t="e">
        <f t="shared" si="23"/>
        <v>#VALUE!</v>
      </c>
      <c r="AN53" s="34" t="e">
        <f t="shared" si="24"/>
        <v>#VALUE!</v>
      </c>
    </row>
    <row r="54" spans="5:40" x14ac:dyDescent="0.25">
      <c r="E54" s="25">
        <f t="shared" si="11"/>
        <v>51</v>
      </c>
      <c r="F54" s="26" t="str">
        <f t="shared" si="12"/>
        <v/>
      </c>
      <c r="G54" s="27" t="str">
        <f t="shared" si="13"/>
        <v/>
      </c>
      <c r="H54" s="28" t="str">
        <f t="shared" si="0"/>
        <v/>
      </c>
      <c r="I54" s="3" t="str">
        <f t="shared" si="14"/>
        <v/>
      </c>
      <c r="J54" s="3" t="str">
        <f t="shared" si="1"/>
        <v xml:space="preserve"> </v>
      </c>
      <c r="K54" s="3" t="str">
        <f t="shared" si="15"/>
        <v/>
      </c>
      <c r="L54" s="30" t="str">
        <f t="shared" si="2"/>
        <v/>
      </c>
      <c r="M54" s="29" t="str">
        <f t="shared" si="16"/>
        <v/>
      </c>
      <c r="N54" s="29" t="str">
        <f>IFERROR(IF(AND(R53="N",R54="Y"),SUM(X54:Y54),IF(AND(R53="Y",R54="N"),SUM(X54:Y54),ROUND((M54+(0*(-1)))*(H54)+(0*(-1)),2))),"")</f>
        <v/>
      </c>
      <c r="O54" s="29" t="str">
        <f t="shared" si="3"/>
        <v/>
      </c>
      <c r="P54" s="29" t="str">
        <f t="shared" si="4"/>
        <v/>
      </c>
      <c r="Q54" s="29" t="str">
        <f t="shared" si="5"/>
        <v/>
      </c>
      <c r="R54" s="23" t="str">
        <f t="shared" si="6"/>
        <v/>
      </c>
      <c r="S54" s="5" t="str">
        <f t="shared" si="18"/>
        <v/>
      </c>
      <c r="T54" s="5" t="str">
        <f t="shared" si="19"/>
        <v/>
      </c>
      <c r="U54" s="5" t="str">
        <f t="shared" si="20"/>
        <v/>
      </c>
      <c r="V54" s="4" t="str">
        <f t="shared" si="25"/>
        <v/>
      </c>
      <c r="W54" s="6" t="str">
        <f t="shared" si="8"/>
        <v/>
      </c>
      <c r="X54" s="22" t="str">
        <f t="shared" si="9"/>
        <v/>
      </c>
      <c r="Y54" s="22" t="str">
        <f t="shared" si="10"/>
        <v/>
      </c>
      <c r="Z54" s="22"/>
      <c r="AA54" s="1">
        <v>51</v>
      </c>
      <c r="AB54" s="1">
        <v>1</v>
      </c>
      <c r="AC54" s="1" t="s">
        <v>38</v>
      </c>
      <c r="AD54" s="2">
        <v>45311</v>
      </c>
      <c r="AE54" s="2">
        <v>43780</v>
      </c>
      <c r="AF54" s="36">
        <v>28.74</v>
      </c>
      <c r="AG54" s="36">
        <v>21.11</v>
      </c>
      <c r="AH54" s="36">
        <v>7.63</v>
      </c>
      <c r="AI54" s="36">
        <v>0.48</v>
      </c>
      <c r="AK54" s="34" t="e">
        <f t="shared" si="21"/>
        <v>#VALUE!</v>
      </c>
      <c r="AL54" s="34" t="e">
        <f t="shared" si="22"/>
        <v>#VALUE!</v>
      </c>
      <c r="AM54" s="34" t="e">
        <f t="shared" si="23"/>
        <v>#VALUE!</v>
      </c>
      <c r="AN54" s="34" t="e">
        <f t="shared" si="24"/>
        <v>#VALUE!</v>
      </c>
    </row>
    <row r="55" spans="5:40" x14ac:dyDescent="0.25">
      <c r="E55" s="25">
        <f t="shared" si="11"/>
        <v>52</v>
      </c>
      <c r="F55" s="26" t="str">
        <f t="shared" si="12"/>
        <v/>
      </c>
      <c r="G55" s="27" t="str">
        <f t="shared" si="13"/>
        <v/>
      </c>
      <c r="H55" s="28" t="str">
        <f t="shared" si="0"/>
        <v/>
      </c>
      <c r="I55" s="3" t="str">
        <f t="shared" si="14"/>
        <v/>
      </c>
      <c r="J55" s="3" t="str">
        <f t="shared" si="1"/>
        <v xml:space="preserve"> </v>
      </c>
      <c r="K55" s="3" t="str">
        <f t="shared" si="15"/>
        <v/>
      </c>
      <c r="L55" s="30" t="str">
        <f t="shared" si="2"/>
        <v/>
      </c>
      <c r="M55" s="29" t="str">
        <f t="shared" si="16"/>
        <v/>
      </c>
      <c r="N55" s="29" t="str">
        <f t="shared" si="17"/>
        <v/>
      </c>
      <c r="O55" s="29" t="str">
        <f t="shared" si="3"/>
        <v/>
      </c>
      <c r="P55" s="29" t="str">
        <f t="shared" si="4"/>
        <v/>
      </c>
      <c r="Q55" s="29" t="str">
        <f t="shared" si="5"/>
        <v/>
      </c>
      <c r="R55" s="23" t="str">
        <f t="shared" si="6"/>
        <v/>
      </c>
      <c r="S55" s="5" t="str">
        <f t="shared" si="18"/>
        <v/>
      </c>
      <c r="T55" s="5" t="str">
        <f t="shared" si="19"/>
        <v/>
      </c>
      <c r="U55" s="5" t="str">
        <f t="shared" si="20"/>
        <v/>
      </c>
      <c r="V55" s="4" t="str">
        <f t="shared" si="25"/>
        <v/>
      </c>
      <c r="W55" s="6" t="str">
        <f t="shared" si="8"/>
        <v/>
      </c>
      <c r="X55" s="22" t="str">
        <f t="shared" si="9"/>
        <v/>
      </c>
      <c r="Y55" s="22" t="str">
        <f t="shared" si="10"/>
        <v/>
      </c>
      <c r="Z55" s="22"/>
      <c r="AA55" s="1">
        <v>52</v>
      </c>
      <c r="AB55" s="1">
        <v>1</v>
      </c>
      <c r="AC55" s="1" t="s">
        <v>38</v>
      </c>
      <c r="AD55" s="2">
        <v>45342</v>
      </c>
      <c r="AE55" s="2">
        <v>43780</v>
      </c>
      <c r="AF55" s="36">
        <v>28.74</v>
      </c>
      <c r="AG55" s="36">
        <v>21.78</v>
      </c>
      <c r="AH55" s="36">
        <v>6.96</v>
      </c>
      <c r="AI55" s="36">
        <v>0.44</v>
      </c>
      <c r="AK55" s="34" t="e">
        <f t="shared" si="21"/>
        <v>#VALUE!</v>
      </c>
      <c r="AL55" s="34" t="e">
        <f t="shared" si="22"/>
        <v>#VALUE!</v>
      </c>
      <c r="AM55" s="34" t="e">
        <f t="shared" si="23"/>
        <v>#VALUE!</v>
      </c>
      <c r="AN55" s="34" t="e">
        <f t="shared" si="24"/>
        <v>#VALUE!</v>
      </c>
    </row>
    <row r="56" spans="5:40" x14ac:dyDescent="0.25">
      <c r="E56" s="25">
        <f t="shared" si="11"/>
        <v>53</v>
      </c>
      <c r="F56" s="26" t="str">
        <f t="shared" si="12"/>
        <v/>
      </c>
      <c r="G56" s="27" t="str">
        <f t="shared" si="13"/>
        <v/>
      </c>
      <c r="H56" s="28" t="str">
        <f t="shared" si="0"/>
        <v/>
      </c>
      <c r="I56" s="3" t="str">
        <f t="shared" si="14"/>
        <v/>
      </c>
      <c r="J56" s="3" t="str">
        <f t="shared" si="1"/>
        <v xml:space="preserve"> </v>
      </c>
      <c r="K56" s="3" t="str">
        <f t="shared" si="15"/>
        <v/>
      </c>
      <c r="L56" s="30" t="str">
        <f t="shared" si="2"/>
        <v/>
      </c>
      <c r="M56" s="29" t="str">
        <f t="shared" si="16"/>
        <v/>
      </c>
      <c r="N56" s="29" t="str">
        <f t="shared" si="17"/>
        <v/>
      </c>
      <c r="O56" s="29" t="str">
        <f t="shared" si="3"/>
        <v/>
      </c>
      <c r="P56" s="29" t="str">
        <f t="shared" si="4"/>
        <v/>
      </c>
      <c r="Q56" s="29" t="str">
        <f t="shared" si="5"/>
        <v/>
      </c>
      <c r="R56" s="23" t="str">
        <f t="shared" si="6"/>
        <v/>
      </c>
      <c r="S56" s="5" t="str">
        <f t="shared" si="18"/>
        <v/>
      </c>
      <c r="T56" s="5" t="str">
        <f t="shared" si="19"/>
        <v/>
      </c>
      <c r="U56" s="5" t="str">
        <f t="shared" si="20"/>
        <v/>
      </c>
      <c r="V56" s="4" t="str">
        <f t="shared" si="25"/>
        <v/>
      </c>
      <c r="W56" s="6" t="str">
        <f t="shared" si="8"/>
        <v/>
      </c>
      <c r="X56" s="22" t="str">
        <f t="shared" si="9"/>
        <v/>
      </c>
      <c r="Y56" s="22" t="str">
        <f t="shared" si="10"/>
        <v/>
      </c>
      <c r="Z56" s="22"/>
      <c r="AA56" s="1">
        <v>53</v>
      </c>
      <c r="AB56" s="1">
        <v>1</v>
      </c>
      <c r="AC56" s="1" t="s">
        <v>38</v>
      </c>
      <c r="AD56" s="2">
        <v>45371</v>
      </c>
      <c r="AE56" s="2">
        <v>43780</v>
      </c>
      <c r="AF56" s="36">
        <v>28.74</v>
      </c>
      <c r="AG56" s="36">
        <v>22.87</v>
      </c>
      <c r="AH56" s="36">
        <v>5.87</v>
      </c>
      <c r="AI56" s="36">
        <v>0.4</v>
      </c>
      <c r="AK56" s="34" t="e">
        <f t="shared" si="21"/>
        <v>#VALUE!</v>
      </c>
      <c r="AL56" s="34" t="e">
        <f t="shared" si="22"/>
        <v>#VALUE!</v>
      </c>
      <c r="AM56" s="34" t="e">
        <f t="shared" si="23"/>
        <v>#VALUE!</v>
      </c>
      <c r="AN56" s="34" t="e">
        <f t="shared" si="24"/>
        <v>#VALUE!</v>
      </c>
    </row>
    <row r="57" spans="5:40" x14ac:dyDescent="0.25">
      <c r="E57" s="25">
        <f t="shared" si="11"/>
        <v>54</v>
      </c>
      <c r="F57" s="26" t="str">
        <f t="shared" si="12"/>
        <v/>
      </c>
      <c r="G57" s="27" t="str">
        <f t="shared" si="13"/>
        <v/>
      </c>
      <c r="H57" s="28" t="str">
        <f t="shared" si="0"/>
        <v/>
      </c>
      <c r="I57" s="3" t="str">
        <f t="shared" si="14"/>
        <v/>
      </c>
      <c r="J57" s="3" t="str">
        <f t="shared" si="1"/>
        <v xml:space="preserve"> </v>
      </c>
      <c r="K57" s="3" t="str">
        <f t="shared" si="15"/>
        <v/>
      </c>
      <c r="L57" s="30" t="str">
        <f t="shared" si="2"/>
        <v/>
      </c>
      <c r="M57" s="29" t="str">
        <f t="shared" si="16"/>
        <v/>
      </c>
      <c r="N57" s="29" t="str">
        <f t="shared" si="17"/>
        <v/>
      </c>
      <c r="O57" s="29" t="str">
        <f t="shared" si="3"/>
        <v/>
      </c>
      <c r="P57" s="29" t="str">
        <f t="shared" si="4"/>
        <v/>
      </c>
      <c r="Q57" s="29" t="str">
        <f t="shared" si="5"/>
        <v/>
      </c>
      <c r="R57" s="23" t="str">
        <f t="shared" si="6"/>
        <v/>
      </c>
      <c r="S57" s="5" t="str">
        <f t="shared" si="18"/>
        <v/>
      </c>
      <c r="T57" s="5" t="str">
        <f t="shared" si="19"/>
        <v/>
      </c>
      <c r="U57" s="5" t="str">
        <f t="shared" si="20"/>
        <v/>
      </c>
      <c r="V57" s="4" t="str">
        <f t="shared" si="25"/>
        <v/>
      </c>
      <c r="W57" s="6" t="str">
        <f t="shared" si="8"/>
        <v/>
      </c>
      <c r="X57" s="22" t="str">
        <f t="shared" si="9"/>
        <v/>
      </c>
      <c r="Y57" s="22" t="str">
        <f t="shared" si="10"/>
        <v/>
      </c>
      <c r="Z57" s="22"/>
      <c r="AA57" s="1">
        <v>54</v>
      </c>
      <c r="AB57" s="1">
        <v>1</v>
      </c>
      <c r="AC57" s="1" t="s">
        <v>38</v>
      </c>
      <c r="AD57" s="2">
        <v>45402</v>
      </c>
      <c r="AE57" s="2">
        <v>43780</v>
      </c>
      <c r="AF57" s="36">
        <v>28.74</v>
      </c>
      <c r="AG57" s="36">
        <v>23.18</v>
      </c>
      <c r="AH57" s="36">
        <v>5.56</v>
      </c>
      <c r="AI57" s="36">
        <v>0.35</v>
      </c>
      <c r="AK57" s="34" t="e">
        <f t="shared" si="21"/>
        <v>#VALUE!</v>
      </c>
      <c r="AL57" s="34" t="e">
        <f t="shared" si="22"/>
        <v>#VALUE!</v>
      </c>
      <c r="AM57" s="34" t="e">
        <f t="shared" si="23"/>
        <v>#VALUE!</v>
      </c>
      <c r="AN57" s="34" t="e">
        <f t="shared" si="24"/>
        <v>#VALUE!</v>
      </c>
    </row>
    <row r="58" spans="5:40" x14ac:dyDescent="0.25">
      <c r="E58" s="25">
        <f t="shared" si="11"/>
        <v>55</v>
      </c>
      <c r="F58" s="26" t="str">
        <f t="shared" si="12"/>
        <v/>
      </c>
      <c r="G58" s="27" t="str">
        <f t="shared" si="13"/>
        <v/>
      </c>
      <c r="H58" s="28" t="str">
        <f t="shared" si="0"/>
        <v/>
      </c>
      <c r="I58" s="3" t="str">
        <f t="shared" si="14"/>
        <v/>
      </c>
      <c r="J58" s="3" t="str">
        <f t="shared" si="1"/>
        <v xml:space="preserve"> </v>
      </c>
      <c r="K58" s="3" t="str">
        <f t="shared" si="15"/>
        <v/>
      </c>
      <c r="L58" s="30" t="str">
        <f t="shared" si="2"/>
        <v/>
      </c>
      <c r="M58" s="29" t="str">
        <f t="shared" si="16"/>
        <v/>
      </c>
      <c r="N58" s="29" t="str">
        <f t="shared" si="17"/>
        <v/>
      </c>
      <c r="O58" s="29" t="str">
        <f t="shared" si="3"/>
        <v/>
      </c>
      <c r="P58" s="29" t="str">
        <f t="shared" si="4"/>
        <v/>
      </c>
      <c r="Q58" s="29" t="str">
        <f t="shared" si="5"/>
        <v/>
      </c>
      <c r="R58" s="23" t="str">
        <f t="shared" si="6"/>
        <v/>
      </c>
      <c r="S58" s="5" t="str">
        <f t="shared" si="18"/>
        <v/>
      </c>
      <c r="T58" s="5" t="str">
        <f t="shared" si="19"/>
        <v/>
      </c>
      <c r="U58" s="5" t="str">
        <f t="shared" si="20"/>
        <v/>
      </c>
      <c r="V58" s="4" t="str">
        <f t="shared" si="25"/>
        <v/>
      </c>
      <c r="W58" s="6" t="str">
        <f t="shared" si="8"/>
        <v/>
      </c>
      <c r="X58" s="22" t="str">
        <f t="shared" si="9"/>
        <v/>
      </c>
      <c r="Y58" s="22" t="str">
        <f t="shared" si="10"/>
        <v/>
      </c>
      <c r="Z58" s="22"/>
      <c r="AA58" s="1">
        <v>55</v>
      </c>
      <c r="AB58" s="1">
        <v>1</v>
      </c>
      <c r="AC58" s="1" t="s">
        <v>38</v>
      </c>
      <c r="AD58" s="2">
        <v>45432</v>
      </c>
      <c r="AE58" s="2">
        <v>43780</v>
      </c>
      <c r="AF58" s="36">
        <v>28.74</v>
      </c>
      <c r="AG58" s="36">
        <v>24.06</v>
      </c>
      <c r="AH58" s="36">
        <v>4.68</v>
      </c>
      <c r="AI58" s="36">
        <v>0.31</v>
      </c>
      <c r="AK58" s="34" t="e">
        <f t="shared" si="21"/>
        <v>#VALUE!</v>
      </c>
      <c r="AL58" s="34" t="e">
        <f t="shared" si="22"/>
        <v>#VALUE!</v>
      </c>
      <c r="AM58" s="34" t="e">
        <f t="shared" si="23"/>
        <v>#VALUE!</v>
      </c>
      <c r="AN58" s="34" t="e">
        <f t="shared" si="24"/>
        <v>#VALUE!</v>
      </c>
    </row>
    <row r="59" spans="5:40" x14ac:dyDescent="0.25">
      <c r="E59" s="25">
        <f t="shared" si="11"/>
        <v>56</v>
      </c>
      <c r="F59" s="26" t="str">
        <f t="shared" si="12"/>
        <v/>
      </c>
      <c r="G59" s="27" t="str">
        <f t="shared" si="13"/>
        <v/>
      </c>
      <c r="H59" s="28" t="str">
        <f t="shared" si="0"/>
        <v/>
      </c>
      <c r="I59" s="3" t="str">
        <f t="shared" si="14"/>
        <v/>
      </c>
      <c r="J59" s="3" t="str">
        <f t="shared" si="1"/>
        <v xml:space="preserve"> </v>
      </c>
      <c r="K59" s="3" t="str">
        <f t="shared" si="15"/>
        <v/>
      </c>
      <c r="L59" s="30" t="str">
        <f t="shared" si="2"/>
        <v/>
      </c>
      <c r="M59" s="29" t="str">
        <f t="shared" si="16"/>
        <v/>
      </c>
      <c r="N59" s="29" t="str">
        <f t="shared" si="17"/>
        <v/>
      </c>
      <c r="O59" s="29" t="str">
        <f t="shared" si="3"/>
        <v/>
      </c>
      <c r="P59" s="29" t="str">
        <f t="shared" si="4"/>
        <v/>
      </c>
      <c r="Q59" s="29" t="str">
        <f t="shared" si="5"/>
        <v/>
      </c>
      <c r="R59" s="23" t="str">
        <f t="shared" si="6"/>
        <v/>
      </c>
      <c r="S59" s="5" t="str">
        <f t="shared" si="18"/>
        <v/>
      </c>
      <c r="T59" s="5" t="str">
        <f t="shared" si="19"/>
        <v/>
      </c>
      <c r="U59" s="5" t="str">
        <f t="shared" si="20"/>
        <v/>
      </c>
      <c r="V59" s="4" t="str">
        <f t="shared" si="25"/>
        <v/>
      </c>
      <c r="W59" s="6" t="str">
        <f t="shared" si="8"/>
        <v/>
      </c>
      <c r="X59" s="22" t="str">
        <f t="shared" si="9"/>
        <v/>
      </c>
      <c r="Y59" s="22" t="str">
        <f t="shared" si="10"/>
        <v/>
      </c>
      <c r="Z59" s="22"/>
      <c r="AA59" s="1">
        <v>56</v>
      </c>
      <c r="AB59" s="1">
        <v>1</v>
      </c>
      <c r="AC59" s="1" t="s">
        <v>38</v>
      </c>
      <c r="AD59" s="2">
        <v>45463</v>
      </c>
      <c r="AE59" s="2">
        <v>43780</v>
      </c>
      <c r="AF59" s="36">
        <v>28.74</v>
      </c>
      <c r="AG59" s="36">
        <v>24.65</v>
      </c>
      <c r="AH59" s="36">
        <v>4.09</v>
      </c>
      <c r="AI59" s="36">
        <v>0.26</v>
      </c>
      <c r="AK59" s="34" t="e">
        <f t="shared" si="21"/>
        <v>#VALUE!</v>
      </c>
      <c r="AL59" s="34" t="e">
        <f t="shared" si="22"/>
        <v>#VALUE!</v>
      </c>
      <c r="AM59" s="34" t="e">
        <f t="shared" si="23"/>
        <v>#VALUE!</v>
      </c>
      <c r="AN59" s="34" t="e">
        <f t="shared" si="24"/>
        <v>#VALUE!</v>
      </c>
    </row>
    <row r="60" spans="5:40" x14ac:dyDescent="0.25">
      <c r="E60" s="25">
        <f t="shared" si="11"/>
        <v>57</v>
      </c>
      <c r="F60" s="26" t="str">
        <f t="shared" si="12"/>
        <v/>
      </c>
      <c r="G60" s="27" t="str">
        <f t="shared" si="13"/>
        <v/>
      </c>
      <c r="H60" s="28" t="str">
        <f t="shared" si="0"/>
        <v/>
      </c>
      <c r="I60" s="3" t="str">
        <f t="shared" si="14"/>
        <v/>
      </c>
      <c r="J60" s="3" t="str">
        <f t="shared" si="1"/>
        <v xml:space="preserve"> </v>
      </c>
      <c r="K60" s="3" t="str">
        <f t="shared" si="15"/>
        <v/>
      </c>
      <c r="L60" s="30" t="str">
        <f t="shared" si="2"/>
        <v/>
      </c>
      <c r="M60" s="29" t="str">
        <f t="shared" si="16"/>
        <v/>
      </c>
      <c r="N60" s="29" t="str">
        <f t="shared" si="17"/>
        <v/>
      </c>
      <c r="O60" s="29" t="str">
        <f t="shared" si="3"/>
        <v/>
      </c>
      <c r="P60" s="29" t="str">
        <f t="shared" si="4"/>
        <v/>
      </c>
      <c r="Q60" s="29" t="str">
        <f t="shared" si="5"/>
        <v/>
      </c>
      <c r="R60" s="23" t="str">
        <f t="shared" si="6"/>
        <v/>
      </c>
      <c r="S60" s="5" t="str">
        <f t="shared" si="18"/>
        <v/>
      </c>
      <c r="T60" s="5" t="str">
        <f t="shared" si="19"/>
        <v/>
      </c>
      <c r="U60" s="5" t="str">
        <f t="shared" si="20"/>
        <v/>
      </c>
      <c r="V60" s="4" t="str">
        <f t="shared" si="25"/>
        <v/>
      </c>
      <c r="W60" s="6" t="str">
        <f t="shared" si="8"/>
        <v/>
      </c>
      <c r="X60" s="22" t="str">
        <f t="shared" si="9"/>
        <v/>
      </c>
      <c r="Y60" s="22" t="str">
        <f t="shared" si="10"/>
        <v/>
      </c>
      <c r="Z60" s="22"/>
      <c r="AA60" s="1">
        <v>57</v>
      </c>
      <c r="AB60" s="1">
        <v>1</v>
      </c>
      <c r="AC60" s="1" t="s">
        <v>38</v>
      </c>
      <c r="AD60" s="2">
        <v>45493</v>
      </c>
      <c r="AE60" s="2">
        <v>43780</v>
      </c>
      <c r="AF60" s="36">
        <v>28.74</v>
      </c>
      <c r="AG60" s="36">
        <v>25.53</v>
      </c>
      <c r="AH60" s="36">
        <v>3.21</v>
      </c>
      <c r="AI60" s="36">
        <v>0.21</v>
      </c>
      <c r="AK60" s="34" t="e">
        <f t="shared" si="21"/>
        <v>#VALUE!</v>
      </c>
      <c r="AL60" s="34" t="e">
        <f t="shared" si="22"/>
        <v>#VALUE!</v>
      </c>
      <c r="AM60" s="34" t="e">
        <f t="shared" si="23"/>
        <v>#VALUE!</v>
      </c>
      <c r="AN60" s="34" t="e">
        <f t="shared" si="24"/>
        <v>#VALUE!</v>
      </c>
    </row>
    <row r="61" spans="5:40" x14ac:dyDescent="0.25">
      <c r="E61" s="25">
        <f t="shared" si="11"/>
        <v>58</v>
      </c>
      <c r="F61" s="26" t="str">
        <f t="shared" si="12"/>
        <v/>
      </c>
      <c r="G61" s="27" t="str">
        <f t="shared" si="13"/>
        <v/>
      </c>
      <c r="H61" s="28" t="str">
        <f t="shared" si="0"/>
        <v/>
      </c>
      <c r="I61" s="3" t="str">
        <f t="shared" si="14"/>
        <v/>
      </c>
      <c r="J61" s="3" t="str">
        <f t="shared" si="1"/>
        <v xml:space="preserve"> </v>
      </c>
      <c r="K61" s="3" t="str">
        <f t="shared" si="15"/>
        <v/>
      </c>
      <c r="L61" s="30" t="str">
        <f t="shared" si="2"/>
        <v/>
      </c>
      <c r="M61" s="29" t="str">
        <f t="shared" si="16"/>
        <v/>
      </c>
      <c r="N61" s="29" t="str">
        <f t="shared" si="17"/>
        <v/>
      </c>
      <c r="O61" s="29" t="str">
        <f t="shared" si="3"/>
        <v/>
      </c>
      <c r="P61" s="29" t="str">
        <f t="shared" si="4"/>
        <v/>
      </c>
      <c r="Q61" s="29" t="str">
        <f t="shared" si="5"/>
        <v/>
      </c>
      <c r="R61" s="23" t="str">
        <f t="shared" si="6"/>
        <v/>
      </c>
      <c r="S61" s="5" t="str">
        <f t="shared" si="18"/>
        <v/>
      </c>
      <c r="T61" s="5" t="str">
        <f t="shared" si="19"/>
        <v/>
      </c>
      <c r="U61" s="5" t="str">
        <f t="shared" si="20"/>
        <v/>
      </c>
      <c r="V61" s="4" t="str">
        <f t="shared" si="25"/>
        <v/>
      </c>
      <c r="W61" s="6" t="str">
        <f t="shared" si="8"/>
        <v/>
      </c>
      <c r="X61" s="22" t="str">
        <f t="shared" si="9"/>
        <v/>
      </c>
      <c r="Y61" s="22" t="str">
        <f t="shared" si="10"/>
        <v/>
      </c>
      <c r="Z61" s="22"/>
      <c r="AA61" s="1">
        <v>58</v>
      </c>
      <c r="AB61" s="1">
        <v>1</v>
      </c>
      <c r="AC61" s="1" t="s">
        <v>38</v>
      </c>
      <c r="AD61" s="2">
        <v>45524</v>
      </c>
      <c r="AE61" s="2">
        <v>43780</v>
      </c>
      <c r="AF61" s="36">
        <v>28.74</v>
      </c>
      <c r="AG61" s="36">
        <v>26.22</v>
      </c>
      <c r="AH61" s="36">
        <v>2.52</v>
      </c>
      <c r="AI61" s="36">
        <v>0.16</v>
      </c>
      <c r="AK61" s="34" t="e">
        <f t="shared" si="21"/>
        <v>#VALUE!</v>
      </c>
      <c r="AL61" s="34" t="e">
        <f t="shared" si="22"/>
        <v>#VALUE!</v>
      </c>
      <c r="AM61" s="34" t="e">
        <f t="shared" si="23"/>
        <v>#VALUE!</v>
      </c>
      <c r="AN61" s="34" t="e">
        <f t="shared" si="24"/>
        <v>#VALUE!</v>
      </c>
    </row>
    <row r="62" spans="5:40" x14ac:dyDescent="0.25">
      <c r="E62" s="25">
        <f t="shared" si="11"/>
        <v>59</v>
      </c>
      <c r="F62" s="26" t="str">
        <f t="shared" si="12"/>
        <v/>
      </c>
      <c r="G62" s="27" t="str">
        <f t="shared" si="13"/>
        <v/>
      </c>
      <c r="H62" s="28" t="str">
        <f t="shared" si="0"/>
        <v/>
      </c>
      <c r="I62" s="3" t="str">
        <f t="shared" si="14"/>
        <v/>
      </c>
      <c r="J62" s="3" t="str">
        <f t="shared" si="1"/>
        <v xml:space="preserve"> </v>
      </c>
      <c r="K62" s="3" t="str">
        <f t="shared" si="15"/>
        <v/>
      </c>
      <c r="L62" s="30" t="str">
        <f t="shared" si="2"/>
        <v/>
      </c>
      <c r="M62" s="29" t="str">
        <f t="shared" si="16"/>
        <v/>
      </c>
      <c r="N62" s="29" t="str">
        <f t="shared" si="17"/>
        <v/>
      </c>
      <c r="O62" s="29" t="str">
        <f t="shared" si="3"/>
        <v/>
      </c>
      <c r="P62" s="29" t="str">
        <f t="shared" si="4"/>
        <v/>
      </c>
      <c r="Q62" s="29" t="str">
        <f t="shared" si="5"/>
        <v/>
      </c>
      <c r="R62" s="23" t="str">
        <f t="shared" si="6"/>
        <v/>
      </c>
      <c r="S62" s="5" t="str">
        <f t="shared" si="18"/>
        <v/>
      </c>
      <c r="T62" s="5" t="str">
        <f t="shared" si="19"/>
        <v/>
      </c>
      <c r="U62" s="5" t="str">
        <f t="shared" si="20"/>
        <v/>
      </c>
      <c r="V62" s="4" t="str">
        <f t="shared" si="25"/>
        <v/>
      </c>
      <c r="W62" s="6" t="str">
        <f t="shared" si="8"/>
        <v/>
      </c>
      <c r="X62" s="22" t="str">
        <f t="shared" si="9"/>
        <v/>
      </c>
      <c r="Y62" s="22" t="str">
        <f t="shared" si="10"/>
        <v/>
      </c>
      <c r="Z62" s="22"/>
      <c r="AA62" s="1">
        <v>59</v>
      </c>
      <c r="AB62" s="1">
        <v>1</v>
      </c>
      <c r="AC62" s="1" t="s">
        <v>38</v>
      </c>
      <c r="AD62" s="2">
        <v>45555</v>
      </c>
      <c r="AE62" s="2">
        <v>43780</v>
      </c>
      <c r="AF62" s="36">
        <v>28.74</v>
      </c>
      <c r="AG62" s="36">
        <v>27.04</v>
      </c>
      <c r="AH62" s="36">
        <v>1.7</v>
      </c>
      <c r="AI62" s="36">
        <v>0.1</v>
      </c>
      <c r="AK62" s="34" t="e">
        <f t="shared" si="21"/>
        <v>#VALUE!</v>
      </c>
      <c r="AL62" s="34" t="e">
        <f t="shared" si="22"/>
        <v>#VALUE!</v>
      </c>
      <c r="AM62" s="34" t="e">
        <f t="shared" si="23"/>
        <v>#VALUE!</v>
      </c>
      <c r="AN62" s="34" t="e">
        <f t="shared" si="24"/>
        <v>#VALUE!</v>
      </c>
    </row>
    <row r="63" spans="5:40" x14ac:dyDescent="0.25">
      <c r="E63" s="25">
        <f t="shared" si="11"/>
        <v>60</v>
      </c>
      <c r="F63" s="26" t="str">
        <f t="shared" si="12"/>
        <v/>
      </c>
      <c r="G63" s="27" t="str">
        <f t="shared" si="13"/>
        <v/>
      </c>
      <c r="H63" s="28" t="str">
        <f t="shared" si="0"/>
        <v/>
      </c>
      <c r="I63" s="3" t="str">
        <f t="shared" si="14"/>
        <v/>
      </c>
      <c r="J63" s="3" t="str">
        <f t="shared" si="1"/>
        <v xml:space="preserve"> </v>
      </c>
      <c r="K63" s="3" t="str">
        <f t="shared" si="15"/>
        <v/>
      </c>
      <c r="L63" s="30" t="str">
        <f t="shared" si="2"/>
        <v/>
      </c>
      <c r="M63" s="29" t="str">
        <f t="shared" si="16"/>
        <v/>
      </c>
      <c r="N63" s="29" t="str">
        <f t="shared" si="17"/>
        <v/>
      </c>
      <c r="O63" s="29" t="str">
        <f t="shared" si="3"/>
        <v/>
      </c>
      <c r="P63" s="29" t="str">
        <f t="shared" si="4"/>
        <v/>
      </c>
      <c r="Q63" s="29" t="str">
        <f t="shared" si="5"/>
        <v/>
      </c>
      <c r="R63" s="23" t="str">
        <f t="shared" si="6"/>
        <v/>
      </c>
      <c r="S63" s="5" t="str">
        <f t="shared" si="18"/>
        <v/>
      </c>
      <c r="T63" s="5" t="str">
        <f t="shared" si="19"/>
        <v/>
      </c>
      <c r="U63" s="5" t="str">
        <f t="shared" si="20"/>
        <v/>
      </c>
      <c r="V63" s="4" t="str">
        <f t="shared" si="25"/>
        <v/>
      </c>
      <c r="W63" s="6" t="str">
        <f t="shared" si="8"/>
        <v/>
      </c>
      <c r="X63" s="22" t="str">
        <f t="shared" si="9"/>
        <v/>
      </c>
      <c r="Y63" s="22" t="str">
        <f t="shared" si="10"/>
        <v/>
      </c>
      <c r="Z63" s="22"/>
      <c r="AA63" s="1">
        <v>60</v>
      </c>
      <c r="AB63" s="1">
        <v>1</v>
      </c>
      <c r="AC63" s="1" t="s">
        <v>38</v>
      </c>
      <c r="AD63" s="2">
        <v>45585</v>
      </c>
      <c r="AE63" s="2">
        <v>43780</v>
      </c>
      <c r="AF63" s="36">
        <v>28.35</v>
      </c>
      <c r="AG63" s="36">
        <v>27.52</v>
      </c>
      <c r="AH63" s="36">
        <v>0.83</v>
      </c>
      <c r="AI63" s="36">
        <v>0.05</v>
      </c>
      <c r="AK63" s="34" t="e">
        <f t="shared" si="21"/>
        <v>#VALUE!</v>
      </c>
      <c r="AL63" s="34" t="e">
        <f t="shared" si="22"/>
        <v>#VALUE!</v>
      </c>
      <c r="AM63" s="34" t="e">
        <f t="shared" si="23"/>
        <v>#VALUE!</v>
      </c>
      <c r="AN63" s="34" t="e">
        <f t="shared" si="24"/>
        <v>#VALUE!</v>
      </c>
    </row>
    <row r="64" spans="5:40" x14ac:dyDescent="0.25">
      <c r="E64" s="25" t="str">
        <f t="shared" si="11"/>
        <v xml:space="preserve"> </v>
      </c>
      <c r="F64" s="26" t="str">
        <f t="shared" si="12"/>
        <v xml:space="preserve"> </v>
      </c>
      <c r="G64" s="27" t="str">
        <f t="shared" si="13"/>
        <v xml:space="preserve"> </v>
      </c>
      <c r="H64" s="28" t="str">
        <f t="shared" si="0"/>
        <v xml:space="preserve"> </v>
      </c>
      <c r="I64" s="3" t="str">
        <f t="shared" si="14"/>
        <v xml:space="preserve"> </v>
      </c>
      <c r="J64" s="3" t="str">
        <f t="shared" si="1"/>
        <v xml:space="preserve"> </v>
      </c>
      <c r="K64" s="3" t="str">
        <f t="shared" si="15"/>
        <v/>
      </c>
      <c r="L64" s="30" t="str">
        <f t="shared" ref="L64:L69" si="26">IFERROR(ROUND(IF($C$18=" "," ",$C$13/K64),2),"")</f>
        <v/>
      </c>
      <c r="M64" s="29" t="str">
        <f t="shared" si="16"/>
        <v/>
      </c>
      <c r="N64" s="29" t="str">
        <f t="shared" si="17"/>
        <v/>
      </c>
      <c r="O64" s="29" t="str">
        <f t="shared" si="3"/>
        <v/>
      </c>
      <c r="P64" s="29" t="str">
        <f t="shared" si="4"/>
        <v/>
      </c>
      <c r="Q64" s="29" t="str">
        <f t="shared" si="5"/>
        <v/>
      </c>
      <c r="R64" s="23" t="str">
        <f t="shared" si="6"/>
        <v/>
      </c>
      <c r="S64" s="5" t="str">
        <f t="shared" si="18"/>
        <v/>
      </c>
      <c r="T64" s="5" t="str">
        <f t="shared" si="19"/>
        <v/>
      </c>
      <c r="U64" s="5" t="str">
        <f t="shared" si="20"/>
        <v/>
      </c>
      <c r="V64" s="4" t="str">
        <f t="shared" si="25"/>
        <v xml:space="preserve"> </v>
      </c>
      <c r="W64" s="6" t="str">
        <f t="shared" si="8"/>
        <v xml:space="preserve"> </v>
      </c>
      <c r="X64" s="22" t="str">
        <f t="shared" si="9"/>
        <v/>
      </c>
      <c r="Y64" s="22" t="str">
        <f t="shared" si="10"/>
        <v/>
      </c>
      <c r="Z64" s="22"/>
    </row>
    <row r="65" spans="5:26" x14ac:dyDescent="0.25">
      <c r="E65" s="25" t="str">
        <f t="shared" si="11"/>
        <v xml:space="preserve"> </v>
      </c>
      <c r="F65" s="26" t="str">
        <f t="shared" si="12"/>
        <v xml:space="preserve"> </v>
      </c>
      <c r="G65" s="27" t="str">
        <f t="shared" si="13"/>
        <v xml:space="preserve"> </v>
      </c>
      <c r="H65" s="28" t="str">
        <f t="shared" si="0"/>
        <v xml:space="preserve"> </v>
      </c>
      <c r="I65" s="3" t="str">
        <f t="shared" si="14"/>
        <v xml:space="preserve"> </v>
      </c>
      <c r="J65" s="3" t="str">
        <f t="shared" si="1"/>
        <v xml:space="preserve"> </v>
      </c>
      <c r="K65" s="3" t="str">
        <f t="shared" si="15"/>
        <v/>
      </c>
      <c r="L65" s="30" t="str">
        <f t="shared" si="26"/>
        <v/>
      </c>
      <c r="M65" s="29" t="str">
        <f t="shared" si="16"/>
        <v/>
      </c>
      <c r="N65" s="29" t="str">
        <f t="shared" si="17"/>
        <v/>
      </c>
      <c r="O65" s="29" t="str">
        <f t="shared" si="3"/>
        <v/>
      </c>
      <c r="P65" s="29" t="str">
        <f t="shared" si="4"/>
        <v/>
      </c>
      <c r="Q65" s="29" t="str">
        <f t="shared" si="5"/>
        <v/>
      </c>
      <c r="R65" s="23" t="str">
        <f t="shared" si="6"/>
        <v/>
      </c>
      <c r="S65" s="5" t="str">
        <f t="shared" si="18"/>
        <v/>
      </c>
      <c r="T65" s="5" t="str">
        <f t="shared" si="19"/>
        <v/>
      </c>
      <c r="U65" s="5" t="str">
        <f t="shared" si="20"/>
        <v/>
      </c>
      <c r="V65" s="4" t="str">
        <f t="shared" si="25"/>
        <v xml:space="preserve"> </v>
      </c>
      <c r="W65" s="6" t="str">
        <f t="shared" si="8"/>
        <v xml:space="preserve"> </v>
      </c>
      <c r="X65" s="22" t="str">
        <f t="shared" si="9"/>
        <v/>
      </c>
      <c r="Y65" s="22" t="str">
        <f t="shared" si="10"/>
        <v/>
      </c>
      <c r="Z65" s="22"/>
    </row>
    <row r="66" spans="5:26" x14ac:dyDescent="0.25">
      <c r="E66" s="25" t="str">
        <f t="shared" si="11"/>
        <v xml:space="preserve"> </v>
      </c>
      <c r="F66" s="26" t="str">
        <f t="shared" si="12"/>
        <v xml:space="preserve"> </v>
      </c>
      <c r="G66" s="27" t="str">
        <f t="shared" si="13"/>
        <v xml:space="preserve"> </v>
      </c>
      <c r="H66" s="28" t="str">
        <f t="shared" si="0"/>
        <v xml:space="preserve"> </v>
      </c>
      <c r="I66" s="3" t="str">
        <f t="shared" si="14"/>
        <v xml:space="preserve"> </v>
      </c>
      <c r="J66" s="3" t="str">
        <f t="shared" si="1"/>
        <v xml:space="preserve"> </v>
      </c>
      <c r="K66" s="3" t="str">
        <f t="shared" si="15"/>
        <v/>
      </c>
      <c r="L66" s="30" t="str">
        <f t="shared" si="26"/>
        <v/>
      </c>
      <c r="M66" s="29" t="str">
        <f t="shared" si="16"/>
        <v/>
      </c>
      <c r="N66" s="29" t="str">
        <f t="shared" si="17"/>
        <v/>
      </c>
      <c r="O66" s="29" t="str">
        <f t="shared" si="3"/>
        <v/>
      </c>
      <c r="P66" s="29" t="str">
        <f t="shared" si="4"/>
        <v/>
      </c>
      <c r="Q66" s="29" t="str">
        <f t="shared" si="5"/>
        <v/>
      </c>
      <c r="R66" s="23" t="str">
        <f t="shared" si="6"/>
        <v/>
      </c>
      <c r="S66" s="5" t="str">
        <f t="shared" si="18"/>
        <v/>
      </c>
      <c r="T66" s="5" t="str">
        <f t="shared" si="19"/>
        <v/>
      </c>
      <c r="U66" s="5" t="str">
        <f t="shared" si="20"/>
        <v/>
      </c>
      <c r="V66" s="4" t="str">
        <f t="shared" si="25"/>
        <v xml:space="preserve"> </v>
      </c>
      <c r="W66" s="6" t="str">
        <f t="shared" si="8"/>
        <v xml:space="preserve"> </v>
      </c>
      <c r="X66" s="22" t="str">
        <f t="shared" si="9"/>
        <v/>
      </c>
      <c r="Y66" s="22" t="str">
        <f t="shared" si="10"/>
        <v/>
      </c>
      <c r="Z66" s="22"/>
    </row>
    <row r="67" spans="5:26" x14ac:dyDescent="0.25">
      <c r="E67" s="25" t="str">
        <f t="shared" si="11"/>
        <v xml:space="preserve"> </v>
      </c>
      <c r="F67" s="26" t="str">
        <f t="shared" si="12"/>
        <v xml:space="preserve"> </v>
      </c>
      <c r="G67" s="27" t="str">
        <f t="shared" si="13"/>
        <v xml:space="preserve"> </v>
      </c>
      <c r="H67" s="28" t="str">
        <f t="shared" si="0"/>
        <v xml:space="preserve"> </v>
      </c>
      <c r="I67" s="3" t="str">
        <f t="shared" si="14"/>
        <v xml:space="preserve"> </v>
      </c>
      <c r="J67" s="3" t="str">
        <f t="shared" si="1"/>
        <v xml:space="preserve"> </v>
      </c>
      <c r="K67" s="3" t="str">
        <f t="shared" si="15"/>
        <v/>
      </c>
      <c r="L67" s="30" t="str">
        <f t="shared" si="26"/>
        <v/>
      </c>
      <c r="M67" s="29" t="str">
        <f t="shared" si="16"/>
        <v/>
      </c>
      <c r="N67" s="29" t="str">
        <f t="shared" si="17"/>
        <v/>
      </c>
      <c r="O67" s="29" t="str">
        <f t="shared" si="3"/>
        <v/>
      </c>
      <c r="P67" s="29" t="str">
        <f t="shared" si="4"/>
        <v/>
      </c>
      <c r="Q67" s="29" t="str">
        <f t="shared" si="5"/>
        <v/>
      </c>
      <c r="R67" s="23" t="str">
        <f t="shared" si="6"/>
        <v/>
      </c>
      <c r="S67" s="5" t="str">
        <f t="shared" si="18"/>
        <v/>
      </c>
      <c r="T67" s="5" t="str">
        <f t="shared" si="19"/>
        <v/>
      </c>
      <c r="U67" s="5" t="str">
        <f t="shared" si="20"/>
        <v/>
      </c>
      <c r="V67" s="4" t="str">
        <f t="shared" si="25"/>
        <v xml:space="preserve"> </v>
      </c>
      <c r="W67" s="6" t="str">
        <f t="shared" si="8"/>
        <v xml:space="preserve"> </v>
      </c>
      <c r="X67" s="22" t="str">
        <f t="shared" si="9"/>
        <v/>
      </c>
      <c r="Y67" s="22" t="str">
        <f t="shared" si="10"/>
        <v/>
      </c>
      <c r="Z67" s="22"/>
    </row>
    <row r="68" spans="5:26" x14ac:dyDescent="0.25">
      <c r="E68" s="25" t="str">
        <f t="shared" si="11"/>
        <v xml:space="preserve"> </v>
      </c>
      <c r="F68" s="26" t="str">
        <f t="shared" si="12"/>
        <v xml:space="preserve"> </v>
      </c>
      <c r="G68" s="27" t="str">
        <f t="shared" si="13"/>
        <v xml:space="preserve"> </v>
      </c>
      <c r="H68" s="28" t="str">
        <f t="shared" ref="H68:H69" si="27">IFERROR(IF(E68=" "," ",IF($E68&lt;=$C$16,$G68*$C$14/IF(DAY(DATE(MID(F68,7,4),3,0))=29,366,365),$G68*$C$15/IF(DAY(DATE(MID(F68,7,4),3,0))=29,366,365))),"")</f>
        <v xml:space="preserve"> </v>
      </c>
      <c r="I68" s="3" t="str">
        <f t="shared" si="14"/>
        <v xml:space="preserve"> </v>
      </c>
      <c r="J68" s="3" t="str">
        <f t="shared" ref="J68:J69" si="28">IFERROR(IF($C$18=" "," ",1/(1+I68))," ")</f>
        <v xml:space="preserve"> </v>
      </c>
      <c r="K68" s="3" t="str">
        <f t="shared" si="15"/>
        <v/>
      </c>
      <c r="L68" s="30" t="str">
        <f t="shared" si="26"/>
        <v/>
      </c>
      <c r="M68" s="29" t="str">
        <f t="shared" si="16"/>
        <v/>
      </c>
      <c r="N68" s="29" t="str">
        <f t="shared" si="17"/>
        <v/>
      </c>
      <c r="O68" s="29" t="str">
        <f t="shared" ref="O68:O69" si="29">IFERROR(IF($C$17=E68,M68,TRUNC($C$19-N68,2)),"")</f>
        <v/>
      </c>
      <c r="P68" s="29" t="str">
        <f t="shared" ref="P68:P69" si="30">IF(TRUNC(SUM(N68:O68),2)&lt;=0,"",TRUNC(SUM(N68:O68),2))</f>
        <v/>
      </c>
      <c r="Q68" s="29" t="str">
        <f t="shared" ref="Q68:Q69" si="31">IFERROR(IF($C$12="","",IF(TEXT(MID($C$12,1,2),"")="EX",TRUNC(M68*0.002,2))),"")</f>
        <v/>
      </c>
      <c r="R68" s="23" t="str">
        <f t="shared" ref="R68:R69" si="32">IFERROR(IF(IF(DAY(DATE(MID(F68,7,4),3,0))=29,366,365)=366,"Y","N"),"")</f>
        <v/>
      </c>
      <c r="S68" s="5" t="str">
        <f t="shared" si="18"/>
        <v/>
      </c>
      <c r="T68" s="5" t="str">
        <f t="shared" si="19"/>
        <v/>
      </c>
      <c r="U68" s="5" t="str">
        <f t="shared" si="20"/>
        <v/>
      </c>
      <c r="V68" s="4" t="str">
        <f t="shared" si="25"/>
        <v xml:space="preserve"> </v>
      </c>
      <c r="W68" s="6" t="str">
        <f t="shared" ref="W68:W69" si="33">IFERROR(IF(E68=" "," ",IF($E68&lt;=$C$16,SUM(U68-T68)*$C$14/IF(DAY(DATE(MID(U68,7,4),3,0))=29,366,365),SUM(U68-T68)*$C$15/IF(DAY(DATE(MID(U68,7,4),3,0))=29,366,365))),"")</f>
        <v xml:space="preserve"> </v>
      </c>
      <c r="X68" s="22" t="str">
        <f t="shared" ref="X68:X69" si="34">IFERROR(TRUNC(V68*M68,2),"")</f>
        <v/>
      </c>
      <c r="Y68" s="22" t="str">
        <f t="shared" ref="Y68:Y69" si="35">IFERROR(TRUNC(W68*M68,2),"")</f>
        <v/>
      </c>
      <c r="Z68" s="22"/>
    </row>
    <row r="69" spans="5:26" x14ac:dyDescent="0.25">
      <c r="E69" s="25" t="str">
        <f t="shared" ref="E69" si="36">IFERROR(IF($E68&lt;$C$17,E68+1," "),"")</f>
        <v xml:space="preserve"> </v>
      </c>
      <c r="F69" s="26" t="str">
        <f t="shared" ref="F69" si="37">IFERROR(TEXT(IF($E69&lt;=$C$17,EDATE($F$4,E69 - 1)," "),"DD/MM/YYYY"),"")</f>
        <v xml:space="preserve"> </v>
      </c>
      <c r="G69" s="27" t="str">
        <f t="shared" ref="G69" si="38">IFERROR(IF(E69=" "," ",F69-F68),"")</f>
        <v xml:space="preserve"> </v>
      </c>
      <c r="H69" s="28" t="str">
        <f t="shared" si="27"/>
        <v xml:space="preserve"> </v>
      </c>
      <c r="I69" s="3" t="str">
        <f t="shared" ref="I69" si="39">IFERROR(IF(E69=" "," ",ROUND(I68+H69+(I68*H69),6)),"")</f>
        <v xml:space="preserve"> </v>
      </c>
      <c r="J69" s="3" t="str">
        <f t="shared" si="28"/>
        <v xml:space="preserve"> </v>
      </c>
      <c r="K69" s="3" t="str">
        <f t="shared" ref="K69" si="40">IFERROR(IF($C$18=" "," ",K68+J69),"")</f>
        <v/>
      </c>
      <c r="L69" s="30" t="str">
        <f t="shared" si="26"/>
        <v/>
      </c>
      <c r="M69" s="29" t="str">
        <f t="shared" ref="M69" si="41">IFERROR(IF(IF($M68&gt;0,($M68-$O68)," ")&lt;=0,"",IF($M68&gt;0,($M68-$O68)," ")),"")</f>
        <v/>
      </c>
      <c r="N69" s="29" t="str">
        <f t="shared" ref="N69" si="42">IFERROR(IF(AND(R68="N",R69="Y"),SUM(X69:Y69),IF(AND(R68="Y",R69="N"),SUM(X69:Y69),TRUNC((M69+(0*(-1)))*(H69)+(0*(-1)),2))),"")</f>
        <v/>
      </c>
      <c r="O69" s="29" t="str">
        <f t="shared" si="29"/>
        <v/>
      </c>
      <c r="P69" s="29" t="str">
        <f t="shared" si="30"/>
        <v/>
      </c>
      <c r="Q69" s="29" t="str">
        <f t="shared" si="31"/>
        <v/>
      </c>
      <c r="R69" s="23" t="str">
        <f t="shared" si="32"/>
        <v/>
      </c>
      <c r="S69" s="5" t="str">
        <f t="shared" ref="S69" si="43">TEXT(IF(AND(R68="N",R69="Y"),EDATE($F$4,E69-2),IF(AND(R68="Y",R69="N"),EDATE($F$4,E69-2),"")),"DD/MM/YYYY")</f>
        <v/>
      </c>
      <c r="T69" s="5" t="str">
        <f t="shared" ref="T69" si="44">TEXT(IFERROR(DATE(YEAR(S69),12,31),""),"DD/MM/YYYY")</f>
        <v/>
      </c>
      <c r="U69" s="5" t="str">
        <f t="shared" ref="U69" si="45">TEXT(IFERROR(EDATE($S69,1),""),"DD/MM/YYYY")</f>
        <v/>
      </c>
      <c r="V69" s="4" t="str">
        <f t="shared" si="25"/>
        <v xml:space="preserve"> </v>
      </c>
      <c r="W69" s="6" t="str">
        <f t="shared" si="33"/>
        <v xml:space="preserve"> </v>
      </c>
      <c r="X69" s="22" t="str">
        <f t="shared" si="34"/>
        <v/>
      </c>
      <c r="Y69" s="22" t="str">
        <f t="shared" si="35"/>
        <v/>
      </c>
      <c r="Z69" s="22"/>
    </row>
    <row r="70" spans="5:26" x14ac:dyDescent="0.25">
      <c r="Q70" s="29"/>
    </row>
    <row r="71" spans="5:26" x14ac:dyDescent="0.25">
      <c r="Q71" s="29"/>
    </row>
    <row r="72" spans="5:26" x14ac:dyDescent="0.25">
      <c r="Q72" s="29"/>
    </row>
  </sheetData>
  <sheetProtection algorithmName="SHA-512" hashValue="WX7F/STghdCr6V+h22SabLg9aGSndMoyLu3V1lUUmZlflNTTXpibcgUJjo819CdI2GNThfqegxx1XL5W2jkn5A==" saltValue="2OzxjL/Lt8G9LkLsaMDmfQ==" spinCount="100000" sheet="1" objects="1" scenarios="1"/>
  <mergeCells count="5">
    <mergeCell ref="E2:P2"/>
    <mergeCell ref="AA3:AI3"/>
    <mergeCell ref="AK3:AN3"/>
    <mergeCell ref="B5:C5"/>
    <mergeCell ref="B9:C9"/>
  </mergeCells>
  <conditionalFormatting sqref="R4">
    <cfRule type="cellIs" dxfId="36" priority="6" operator="equal">
      <formula>"Y"</formula>
    </cfRule>
  </conditionalFormatting>
  <conditionalFormatting sqref="M4:R4 Q70:Q72 R5:R69 M5:P5 M10:M69 O10:P69 M6:M8 O6:P8 N6:N69">
    <cfRule type="cellIs" dxfId="35" priority="5" operator="equal">
      <formula>"Y"</formula>
    </cfRule>
  </conditionalFormatting>
  <conditionalFormatting sqref="M9 O9:P9">
    <cfRule type="cellIs" dxfId="34" priority="4" operator="equal">
      <formula>"Y"</formula>
    </cfRule>
  </conditionalFormatting>
  <conditionalFormatting sqref="Q5:Q69">
    <cfRule type="cellIs" dxfId="33" priority="3" operator="equal">
      <formula>"Y"</formula>
    </cfRule>
  </conditionalFormatting>
  <conditionalFormatting sqref="AK4:AN63">
    <cfRule type="cellIs" dxfId="32" priority="1" operator="greaterThan">
      <formula>0</formula>
    </cfRule>
    <cfRule type="cellIs" dxfId="31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N72"/>
  <sheetViews>
    <sheetView showGridLines="0" zoomScale="85" zoomScaleNormal="85" workbookViewId="0">
      <selection activeCell="AB7" sqref="AB7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12.7109375" style="1" bestFit="1" customWidth="1"/>
    <col min="18" max="18" width="8" style="22" hidden="1" customWidth="1"/>
    <col min="19" max="19" width="11.7109375" style="1" hidden="1" customWidth="1"/>
    <col min="20" max="20" width="16.140625" style="1" hidden="1" customWidth="1"/>
    <col min="21" max="21" width="11.28515625" style="1" hidden="1" customWidth="1"/>
    <col min="22" max="22" width="8.7109375" style="1" hidden="1" customWidth="1"/>
    <col min="23" max="23" width="12.28515625" style="1" hidden="1" customWidth="1"/>
    <col min="24" max="25" width="6.140625" style="1" hidden="1" customWidth="1"/>
    <col min="26" max="26" width="2.5703125" style="1" customWidth="1"/>
    <col min="27" max="27" width="3.140625" style="1" bestFit="1" customWidth="1"/>
    <col min="28" max="28" width="2.140625" style="1" bestFit="1" customWidth="1"/>
    <col min="29" max="29" width="11" style="1" bestFit="1" customWidth="1"/>
    <col min="30" max="31" width="10.85546875" style="1" bestFit="1" customWidth="1"/>
    <col min="32" max="34" width="9" style="36" bestFit="1" customWidth="1"/>
    <col min="35" max="35" width="8" style="36" bestFit="1" customWidth="1"/>
    <col min="36" max="36" width="2.7109375" style="1" customWidth="1"/>
    <col min="37" max="37" width="11.85546875" style="1" bestFit="1" customWidth="1"/>
    <col min="38" max="16384" width="11.42578125" style="1"/>
  </cols>
  <sheetData>
    <row r="1" spans="2:40" x14ac:dyDescent="0.25">
      <c r="F1" s="1"/>
      <c r="G1" s="1"/>
      <c r="R1" s="1"/>
    </row>
    <row r="2" spans="2:40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3"/>
      <c r="R2" s="24"/>
      <c r="S2" s="24"/>
      <c r="T2" s="24"/>
      <c r="U2" s="24"/>
      <c r="V2" s="24"/>
      <c r="W2" s="24"/>
      <c r="X2" s="24"/>
      <c r="Y2" s="24"/>
      <c r="Z2" s="35"/>
    </row>
    <row r="3" spans="2:40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0" t="s">
        <v>22</v>
      </c>
      <c r="Q3" s="21" t="s">
        <v>32</v>
      </c>
      <c r="R3" s="19" t="s">
        <v>23</v>
      </c>
      <c r="S3" s="20" t="s">
        <v>24</v>
      </c>
      <c r="T3" s="20" t="s">
        <v>25</v>
      </c>
      <c r="U3" s="20" t="s">
        <v>26</v>
      </c>
      <c r="V3" s="20" t="s">
        <v>27</v>
      </c>
      <c r="W3" s="20" t="s">
        <v>28</v>
      </c>
      <c r="X3" s="20" t="s">
        <v>29</v>
      </c>
      <c r="Y3" s="21" t="s">
        <v>30</v>
      </c>
      <c r="Z3" s="22"/>
      <c r="AA3" s="40" t="s">
        <v>40</v>
      </c>
      <c r="AB3" s="41"/>
      <c r="AC3" s="41"/>
      <c r="AD3" s="41"/>
      <c r="AE3" s="41"/>
      <c r="AF3" s="41"/>
      <c r="AG3" s="41"/>
      <c r="AH3" s="41"/>
      <c r="AI3" s="42"/>
      <c r="AK3" s="40" t="s">
        <v>39</v>
      </c>
      <c r="AL3" s="41"/>
      <c r="AM3" s="41"/>
      <c r="AN3" s="42"/>
    </row>
    <row r="4" spans="2:40" x14ac:dyDescent="0.25">
      <c r="E4" s="25">
        <f>IFERROR(IF($C$18&gt;0,1," "),"")</f>
        <v>1</v>
      </c>
      <c r="F4" s="26" t="str">
        <f>IFERROR(IF(C18&gt;0,TEXT(IF($E$4&gt;0,C18," "),"DD/MM/YYYY")," "),"")</f>
        <v>21/11/2019</v>
      </c>
      <c r="G4" s="27" t="str">
        <f>IFERROR(IF(E4=" "," ",F4-$C$11),"")</f>
        <v/>
      </c>
      <c r="H4" s="28" t="str">
        <f t="shared" ref="H4:H67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67" si="1">IFERROR(IF($C$18=" "," ",1/(1+I4))," ")</f>
        <v xml:space="preserve"> </v>
      </c>
      <c r="K4" s="3" t="str">
        <f>IFERROR(IF($C$18=" "," ",L1+J4),"")</f>
        <v/>
      </c>
      <c r="L4" s="30" t="str">
        <f t="shared" ref="L4:L63" si="2">IFERROR(TRUNC(IF($C$18=" "," ",$C$13/K4),2),"")</f>
        <v/>
      </c>
      <c r="M4" s="29">
        <f>IFERROR(IF(C13&gt;0,C13," "),"")</f>
        <v>1870</v>
      </c>
      <c r="N4" s="29" t="str">
        <f>IFERROR(IF(AND(R2="N",R4="Y"),SUM(X4:Y4),IF(AND(R2="Y",R4="N"),SUM(X4:Y4),TRUNC((M4+(0*(-1)))*(H4)+(0*(-1)),2))),"")</f>
        <v/>
      </c>
      <c r="O4" s="29" t="str">
        <f t="shared" ref="O4:O67" si="3">IFERROR(IF($C$17=E4,M4,TRUNC($C$19-N4,2)),"")</f>
        <v/>
      </c>
      <c r="P4" s="29" t="str">
        <f t="shared" ref="P4:P67" si="4">IF(TRUNC(SUM(N4:O4),2)&lt;=0,"",TRUNC(SUM(N4:O4),2))</f>
        <v/>
      </c>
      <c r="Q4" s="29">
        <f t="shared" ref="Q4:Q67" si="5">IFERROR(IF($C$12="","",IF(TEXT(MID($C$12,1,2),"")="EX",TRUNC(M4*0.002,2))),"")</f>
        <v>3.74</v>
      </c>
      <c r="R4" s="23" t="str">
        <f t="shared" ref="R4:R67" si="6">IFERROR(IF(IF(DAY(DATE(MID(F4,7,4),3,0))=29,366,365)=366,"Y","N"),"")</f>
        <v>N</v>
      </c>
      <c r="S4" s="5" t="str">
        <f>TEXT(IF(AND(R2="N",R4="Y"),EDATE($F$4,E4-2),IF(AND(R2="Y",R4="N"),EDATE($F$4,E4-2),"")),"DD/MM/YYYY")</f>
        <v/>
      </c>
      <c r="T4" s="5" t="str">
        <f>TEXT(IFERROR(DATE(YEAR(S4),12,31),""),"DD/MM/YYYY")</f>
        <v/>
      </c>
      <c r="U4" s="5" t="str">
        <f>TEXT(IFERROR(EDATE($S4,1),""),"DD/MM/YYYY")</f>
        <v/>
      </c>
      <c r="V4" s="4" t="str">
        <f t="shared" ref="V4:V35" si="7">IFERROR(IF(E4=" "," ",IF($E4&lt;=$C$16,SUM(T4-S4)*$C$14/IF(DAY(DATE(MID(T4,7,4),3,0))=29,366,365),SUM(T4-S4)*$C$15/IF(DAY(DATE(MID(T4,7,4),3,0))=29,366,365))),"")</f>
        <v/>
      </c>
      <c r="W4" s="6" t="str">
        <f t="shared" ref="W4:W67" si="8">IFERROR(IF(E4=" "," ",IF($E4&lt;=$C$16,SUM(U4-T4)*$C$14/IF(DAY(DATE(MID(U4,7,4),3,0))=29,366,365),SUM(U4-T4)*$C$15/IF(DAY(DATE(MID(U4,7,4),3,0))=29,366,365))),"")</f>
        <v/>
      </c>
      <c r="X4" s="22" t="str">
        <f t="shared" ref="X4:X67" si="9">IFERROR(TRUNC(V4*M4,2),"")</f>
        <v/>
      </c>
      <c r="Y4" s="22" t="str">
        <f t="shared" ref="Y4:Y67" si="10">IFERROR(TRUNC(W4*M4,2),"")</f>
        <v/>
      </c>
      <c r="Z4" s="22"/>
      <c r="AA4" s="1">
        <v>1</v>
      </c>
      <c r="AB4" s="1">
        <v>1</v>
      </c>
      <c r="AC4" s="1" t="s">
        <v>38</v>
      </c>
      <c r="AD4" s="2">
        <v>43790</v>
      </c>
      <c r="AE4" s="2">
        <v>43780</v>
      </c>
      <c r="AF4" s="36">
        <v>59.37</v>
      </c>
      <c r="AG4" s="36">
        <v>44.06</v>
      </c>
      <c r="AH4" s="36">
        <v>15.31</v>
      </c>
      <c r="AI4" s="36">
        <v>3.74</v>
      </c>
      <c r="AK4" s="34" t="e">
        <f>AF4-P4</f>
        <v>#VALUE!</v>
      </c>
      <c r="AL4" s="34" t="e">
        <f>AG4-O4</f>
        <v>#VALUE!</v>
      </c>
      <c r="AM4" s="34" t="e">
        <f>N4-AH4</f>
        <v>#VALUE!</v>
      </c>
      <c r="AN4" s="34">
        <f>+Q4-AI4</f>
        <v>0</v>
      </c>
    </row>
    <row r="5" spans="2:40" x14ac:dyDescent="0.25">
      <c r="B5" s="37" t="s">
        <v>0</v>
      </c>
      <c r="C5" s="38"/>
      <c r="E5" s="25">
        <f t="shared" ref="E5:E68" si="11">IFERROR(IF($E4&lt;$C$17,E4+1," "),"")</f>
        <v>2</v>
      </c>
      <c r="F5" s="26" t="str">
        <f t="shared" ref="F5:F68" si="12">IFERROR(TEXT(IF($E5&lt;=$C$17,EDATE($F$4,E5 - 1)," "),"DD/MM/YYYY"),"")</f>
        <v/>
      </c>
      <c r="G5" s="27" t="str">
        <f t="shared" ref="G5:G68" si="13">IFERROR(IF(E5=" "," ",F5-F4),"")</f>
        <v/>
      </c>
      <c r="H5" s="28" t="str">
        <f t="shared" si="0"/>
        <v/>
      </c>
      <c r="I5" s="3" t="str">
        <f t="shared" ref="I5:I68" si="14">IFERROR(IF(E5=" "," ",ROUND(I4+H5+(I4*H5),6)),"")</f>
        <v/>
      </c>
      <c r="J5" s="3" t="str">
        <f t="shared" si="1"/>
        <v xml:space="preserve"> </v>
      </c>
      <c r="K5" s="3" t="str">
        <f t="shared" ref="K5:K68" si="15">IFERROR(IF($C$18=" "," ",K4+J5),"")</f>
        <v/>
      </c>
      <c r="L5" s="30" t="str">
        <f t="shared" si="2"/>
        <v/>
      </c>
      <c r="M5" s="29" t="str">
        <f t="shared" ref="M5:M68" si="16">IFERROR(IF(IF($M4&gt;0,($M4-$O4)," ")&lt;=0,"",IF($M4&gt;0,($M4-$O4)," ")),"")</f>
        <v/>
      </c>
      <c r="N5" s="29" t="str">
        <f t="shared" ref="N5:N68" si="17">IFERROR(IF(AND(R4="N",R5="Y"),SUM(X5:Y5),IF(AND(R4="Y",R5="N"),SUM(X5:Y5),TRUNC((M5+(0*(-1)))*(H5)+(0*(-1)),2))),"")</f>
        <v/>
      </c>
      <c r="O5" s="29" t="str">
        <f t="shared" si="3"/>
        <v/>
      </c>
      <c r="P5" s="29" t="str">
        <f t="shared" si="4"/>
        <v/>
      </c>
      <c r="Q5" s="29" t="str">
        <f t="shared" si="5"/>
        <v/>
      </c>
      <c r="R5" s="23" t="str">
        <f t="shared" si="6"/>
        <v/>
      </c>
      <c r="S5" s="5" t="str">
        <f t="shared" ref="S5:S68" si="18">TEXT(IF(AND(R4="N",R5="Y"),EDATE($F$4,E5-2),IF(AND(R4="Y",R5="N"),EDATE($F$4,E5-2),"")),"DD/MM/YYYY")</f>
        <v/>
      </c>
      <c r="T5" s="5" t="str">
        <f t="shared" ref="T5:T68" si="19">TEXT(IFERROR(DATE(YEAR(S5),12,31),""),"DD/MM/YYYY")</f>
        <v/>
      </c>
      <c r="U5" s="5" t="str">
        <f t="shared" ref="U5:U68" si="20">TEXT(IFERROR(EDATE($S5,1),""),"DD/MM/YYYY")</f>
        <v/>
      </c>
      <c r="V5" s="4" t="str">
        <f t="shared" si="7"/>
        <v/>
      </c>
      <c r="W5" s="6" t="str">
        <f t="shared" si="8"/>
        <v/>
      </c>
      <c r="X5" s="22" t="str">
        <f t="shared" si="9"/>
        <v/>
      </c>
      <c r="Y5" s="22" t="str">
        <f t="shared" si="10"/>
        <v/>
      </c>
      <c r="Z5" s="22"/>
      <c r="AA5" s="1">
        <v>2</v>
      </c>
      <c r="AB5" s="1">
        <v>1</v>
      </c>
      <c r="AC5" s="1" t="s">
        <v>38</v>
      </c>
      <c r="AD5" s="2">
        <v>43820</v>
      </c>
      <c r="AE5" s="2">
        <v>43780</v>
      </c>
      <c r="AF5" s="36">
        <v>59.37</v>
      </c>
      <c r="AG5" s="36">
        <v>14.5</v>
      </c>
      <c r="AH5" s="36">
        <v>44.87</v>
      </c>
      <c r="AI5" s="36">
        <v>3.65</v>
      </c>
      <c r="AK5" s="34" t="e">
        <f t="shared" ref="AK5:AK63" si="21">AF5-P5</f>
        <v>#VALUE!</v>
      </c>
      <c r="AL5" s="34" t="e">
        <f t="shared" ref="AL5:AL63" si="22">AG5-O5</f>
        <v>#VALUE!</v>
      </c>
      <c r="AM5" s="34" t="e">
        <f t="shared" ref="AM5:AM63" si="23">N5-AH5</f>
        <v>#VALUE!</v>
      </c>
      <c r="AN5" s="34" t="e">
        <f t="shared" ref="AN5:AN63" si="24">+Q5-AI5</f>
        <v>#VALUE!</v>
      </c>
    </row>
    <row r="6" spans="2:40" x14ac:dyDescent="0.25">
      <c r="E6" s="25">
        <f t="shared" si="11"/>
        <v>3</v>
      </c>
      <c r="F6" s="26" t="str">
        <f t="shared" si="12"/>
        <v/>
      </c>
      <c r="G6" s="27" t="str">
        <f t="shared" si="13"/>
        <v/>
      </c>
      <c r="H6" s="28" t="str">
        <f t="shared" si="0"/>
        <v/>
      </c>
      <c r="I6" s="3" t="str">
        <f t="shared" si="14"/>
        <v/>
      </c>
      <c r="J6" s="3" t="str">
        <f t="shared" si="1"/>
        <v xml:space="preserve"> </v>
      </c>
      <c r="K6" s="3" t="str">
        <f t="shared" si="15"/>
        <v/>
      </c>
      <c r="L6" s="30" t="str">
        <f t="shared" si="2"/>
        <v/>
      </c>
      <c r="M6" s="29" t="str">
        <f t="shared" si="16"/>
        <v/>
      </c>
      <c r="N6" s="29" t="str">
        <f t="shared" si="17"/>
        <v/>
      </c>
      <c r="O6" s="29" t="str">
        <f t="shared" si="3"/>
        <v/>
      </c>
      <c r="P6" s="29" t="str">
        <f t="shared" si="4"/>
        <v/>
      </c>
      <c r="Q6" s="29" t="str">
        <f t="shared" si="5"/>
        <v/>
      </c>
      <c r="R6" s="23" t="str">
        <f t="shared" si="6"/>
        <v/>
      </c>
      <c r="S6" s="5" t="str">
        <f t="shared" si="18"/>
        <v/>
      </c>
      <c r="T6" s="5" t="str">
        <f t="shared" si="19"/>
        <v/>
      </c>
      <c r="U6" s="5" t="str">
        <f t="shared" si="20"/>
        <v/>
      </c>
      <c r="V6" s="4" t="str">
        <f t="shared" si="7"/>
        <v/>
      </c>
      <c r="W6" s="6" t="str">
        <f t="shared" si="8"/>
        <v/>
      </c>
      <c r="X6" s="22" t="str">
        <f t="shared" si="9"/>
        <v/>
      </c>
      <c r="Y6" s="22" t="str">
        <f t="shared" si="10"/>
        <v/>
      </c>
      <c r="Z6" s="22"/>
      <c r="AA6" s="1">
        <v>3</v>
      </c>
      <c r="AB6" s="1">
        <v>1</v>
      </c>
      <c r="AC6" s="1" t="s">
        <v>38</v>
      </c>
      <c r="AD6" s="2">
        <v>43851</v>
      </c>
      <c r="AE6" s="2">
        <v>43780</v>
      </c>
      <c r="AF6" s="36">
        <v>59.37</v>
      </c>
      <c r="AG6" s="36">
        <v>13.46</v>
      </c>
      <c r="AH6" s="36">
        <v>45.91</v>
      </c>
      <c r="AI6" s="36">
        <v>3.62</v>
      </c>
      <c r="AK6" s="34" t="e">
        <f t="shared" si="21"/>
        <v>#VALUE!</v>
      </c>
      <c r="AL6" s="34" t="e">
        <f t="shared" si="22"/>
        <v>#VALUE!</v>
      </c>
      <c r="AM6" s="34" t="e">
        <f t="shared" si="23"/>
        <v>#VALUE!</v>
      </c>
      <c r="AN6" s="34" t="e">
        <f t="shared" si="24"/>
        <v>#VALUE!</v>
      </c>
    </row>
    <row r="7" spans="2:40" x14ac:dyDescent="0.25">
      <c r="B7" s="18" t="s">
        <v>16</v>
      </c>
      <c r="C7" s="17" t="s">
        <v>45</v>
      </c>
      <c r="E7" s="25">
        <f t="shared" si="11"/>
        <v>4</v>
      </c>
      <c r="F7" s="26" t="str">
        <f t="shared" si="12"/>
        <v/>
      </c>
      <c r="G7" s="27" t="str">
        <f t="shared" si="13"/>
        <v/>
      </c>
      <c r="H7" s="28" t="str">
        <f t="shared" si="0"/>
        <v/>
      </c>
      <c r="I7" s="3" t="str">
        <f t="shared" si="14"/>
        <v/>
      </c>
      <c r="J7" s="3" t="str">
        <f t="shared" si="1"/>
        <v xml:space="preserve"> </v>
      </c>
      <c r="K7" s="3" t="str">
        <f t="shared" si="15"/>
        <v/>
      </c>
      <c r="L7" s="30" t="str">
        <f t="shared" si="2"/>
        <v/>
      </c>
      <c r="M7" s="29" t="str">
        <f t="shared" si="16"/>
        <v/>
      </c>
      <c r="N7" s="29" t="str">
        <f t="shared" si="17"/>
        <v/>
      </c>
      <c r="O7" s="29" t="str">
        <f t="shared" si="3"/>
        <v/>
      </c>
      <c r="P7" s="29" t="str">
        <f t="shared" si="4"/>
        <v/>
      </c>
      <c r="Q7" s="29" t="str">
        <f t="shared" si="5"/>
        <v/>
      </c>
      <c r="R7" s="23" t="str">
        <f t="shared" si="6"/>
        <v/>
      </c>
      <c r="S7" s="5" t="str">
        <f t="shared" si="18"/>
        <v/>
      </c>
      <c r="T7" s="5" t="str">
        <f t="shared" si="19"/>
        <v/>
      </c>
      <c r="U7" s="5" t="str">
        <f t="shared" si="20"/>
        <v/>
      </c>
      <c r="V7" s="4" t="str">
        <f t="shared" si="7"/>
        <v/>
      </c>
      <c r="W7" s="6" t="str">
        <f t="shared" si="8"/>
        <v/>
      </c>
      <c r="X7" s="22" t="str">
        <f t="shared" si="9"/>
        <v/>
      </c>
      <c r="Y7" s="22" t="str">
        <f t="shared" si="10"/>
        <v/>
      </c>
      <c r="Z7" s="22"/>
      <c r="AA7" s="1">
        <v>4</v>
      </c>
      <c r="AB7" s="1">
        <v>1</v>
      </c>
      <c r="AC7" s="1" t="s">
        <v>38</v>
      </c>
      <c r="AD7" s="2">
        <v>43882</v>
      </c>
      <c r="AE7" s="2">
        <v>43780</v>
      </c>
      <c r="AF7" s="36">
        <v>59.37</v>
      </c>
      <c r="AG7" s="36">
        <v>13.84</v>
      </c>
      <c r="AH7" s="36">
        <v>45.53</v>
      </c>
      <c r="AI7" s="36">
        <v>3.59</v>
      </c>
      <c r="AK7" s="34" t="e">
        <f t="shared" si="21"/>
        <v>#VALUE!</v>
      </c>
      <c r="AL7" s="34" t="e">
        <f t="shared" si="22"/>
        <v>#VALUE!</v>
      </c>
      <c r="AM7" s="34" t="e">
        <f t="shared" si="23"/>
        <v>#VALUE!</v>
      </c>
      <c r="AN7" s="34" t="e">
        <f t="shared" si="24"/>
        <v>#VALUE!</v>
      </c>
    </row>
    <row r="8" spans="2:40" x14ac:dyDescent="0.25">
      <c r="E8" s="25">
        <f t="shared" si="11"/>
        <v>5</v>
      </c>
      <c r="F8" s="26" t="str">
        <f t="shared" si="12"/>
        <v/>
      </c>
      <c r="G8" s="27" t="str">
        <f t="shared" si="13"/>
        <v/>
      </c>
      <c r="H8" s="28" t="str">
        <f t="shared" si="0"/>
        <v/>
      </c>
      <c r="I8" s="3" t="str">
        <f t="shared" si="14"/>
        <v/>
      </c>
      <c r="J8" s="3" t="str">
        <f t="shared" si="1"/>
        <v xml:space="preserve"> </v>
      </c>
      <c r="K8" s="3" t="str">
        <f t="shared" si="15"/>
        <v/>
      </c>
      <c r="L8" s="30" t="str">
        <f t="shared" si="2"/>
        <v/>
      </c>
      <c r="M8" s="29" t="str">
        <f t="shared" si="16"/>
        <v/>
      </c>
      <c r="N8" s="29" t="str">
        <f t="shared" si="17"/>
        <v/>
      </c>
      <c r="O8" s="29" t="str">
        <f t="shared" si="3"/>
        <v/>
      </c>
      <c r="P8" s="29" t="str">
        <f t="shared" si="4"/>
        <v/>
      </c>
      <c r="Q8" s="29" t="str">
        <f t="shared" si="5"/>
        <v/>
      </c>
      <c r="R8" s="23" t="str">
        <f t="shared" si="6"/>
        <v/>
      </c>
      <c r="S8" s="5" t="str">
        <f t="shared" si="18"/>
        <v/>
      </c>
      <c r="T8" s="5" t="str">
        <f t="shared" si="19"/>
        <v/>
      </c>
      <c r="U8" s="5" t="str">
        <f t="shared" si="20"/>
        <v/>
      </c>
      <c r="V8" s="4" t="str">
        <f t="shared" si="7"/>
        <v/>
      </c>
      <c r="W8" s="6" t="str">
        <f t="shared" si="8"/>
        <v/>
      </c>
      <c r="X8" s="22" t="str">
        <f t="shared" si="9"/>
        <v/>
      </c>
      <c r="Y8" s="22" t="str">
        <f t="shared" si="10"/>
        <v/>
      </c>
      <c r="Z8" s="22"/>
      <c r="AA8" s="1">
        <v>5</v>
      </c>
      <c r="AB8" s="1">
        <v>1</v>
      </c>
      <c r="AC8" s="1" t="s">
        <v>38</v>
      </c>
      <c r="AD8" s="2">
        <v>43911</v>
      </c>
      <c r="AE8" s="2">
        <v>43780</v>
      </c>
      <c r="AF8" s="36">
        <v>59.37</v>
      </c>
      <c r="AG8" s="36">
        <v>17.11</v>
      </c>
      <c r="AH8" s="36">
        <v>42.26</v>
      </c>
      <c r="AI8" s="36">
        <v>3.56</v>
      </c>
      <c r="AK8" s="34" t="e">
        <f t="shared" si="21"/>
        <v>#VALUE!</v>
      </c>
      <c r="AL8" s="34" t="e">
        <f t="shared" si="22"/>
        <v>#VALUE!</v>
      </c>
      <c r="AM8" s="34" t="e">
        <f t="shared" si="23"/>
        <v>#VALUE!</v>
      </c>
      <c r="AN8" s="34" t="e">
        <f t="shared" si="24"/>
        <v>#VALUE!</v>
      </c>
    </row>
    <row r="9" spans="2:40" x14ac:dyDescent="0.25">
      <c r="B9" s="37" t="s">
        <v>15</v>
      </c>
      <c r="C9" s="38"/>
      <c r="E9" s="25">
        <f t="shared" si="11"/>
        <v>6</v>
      </c>
      <c r="F9" s="26" t="str">
        <f t="shared" si="12"/>
        <v/>
      </c>
      <c r="G9" s="27" t="str">
        <f t="shared" si="13"/>
        <v/>
      </c>
      <c r="H9" s="28" t="str">
        <f t="shared" si="0"/>
        <v/>
      </c>
      <c r="I9" s="3" t="str">
        <f t="shared" si="14"/>
        <v/>
      </c>
      <c r="J9" s="3" t="str">
        <f t="shared" si="1"/>
        <v xml:space="preserve"> </v>
      </c>
      <c r="K9" s="3" t="str">
        <f t="shared" si="15"/>
        <v/>
      </c>
      <c r="L9" s="30" t="str">
        <f t="shared" si="2"/>
        <v/>
      </c>
      <c r="M9" s="29" t="str">
        <f t="shared" si="16"/>
        <v/>
      </c>
      <c r="N9" s="29" t="str">
        <f t="shared" si="17"/>
        <v/>
      </c>
      <c r="O9" s="29" t="str">
        <f t="shared" si="3"/>
        <v/>
      </c>
      <c r="P9" s="29" t="str">
        <f t="shared" si="4"/>
        <v/>
      </c>
      <c r="Q9" s="29" t="str">
        <f t="shared" si="5"/>
        <v/>
      </c>
      <c r="R9" s="23" t="str">
        <f t="shared" si="6"/>
        <v/>
      </c>
      <c r="S9" s="5" t="str">
        <f t="shared" si="18"/>
        <v/>
      </c>
      <c r="T9" s="5" t="str">
        <f t="shared" si="19"/>
        <v/>
      </c>
      <c r="U9" s="5" t="str">
        <f t="shared" si="20"/>
        <v/>
      </c>
      <c r="V9" s="4" t="str">
        <f t="shared" si="7"/>
        <v/>
      </c>
      <c r="W9" s="6" t="str">
        <f t="shared" si="8"/>
        <v/>
      </c>
      <c r="X9" s="22" t="str">
        <f t="shared" si="9"/>
        <v/>
      </c>
      <c r="Y9" s="22" t="str">
        <f t="shared" si="10"/>
        <v/>
      </c>
      <c r="Z9" s="22"/>
      <c r="AA9" s="1">
        <v>6</v>
      </c>
      <c r="AB9" s="1">
        <v>1</v>
      </c>
      <c r="AC9" s="1" t="s">
        <v>38</v>
      </c>
      <c r="AD9" s="2">
        <v>43942</v>
      </c>
      <c r="AE9" s="2">
        <v>43780</v>
      </c>
      <c r="AF9" s="36">
        <v>59.37</v>
      </c>
      <c r="AG9" s="36">
        <v>14.62</v>
      </c>
      <c r="AH9" s="36">
        <v>44.75</v>
      </c>
      <c r="AI9" s="36">
        <v>3.53</v>
      </c>
      <c r="AK9" s="34" t="e">
        <f t="shared" si="21"/>
        <v>#VALUE!</v>
      </c>
      <c r="AL9" s="34" t="e">
        <f t="shared" si="22"/>
        <v>#VALUE!</v>
      </c>
      <c r="AM9" s="34" t="e">
        <f t="shared" si="23"/>
        <v>#VALUE!</v>
      </c>
      <c r="AN9" s="34" t="e">
        <f t="shared" si="24"/>
        <v>#VALUE!</v>
      </c>
    </row>
    <row r="10" spans="2:40" x14ac:dyDescent="0.25">
      <c r="E10" s="25">
        <f t="shared" si="11"/>
        <v>7</v>
      </c>
      <c r="F10" s="26" t="str">
        <f t="shared" si="12"/>
        <v/>
      </c>
      <c r="G10" s="27" t="str">
        <f t="shared" si="13"/>
        <v/>
      </c>
      <c r="H10" s="28" t="str">
        <f t="shared" si="0"/>
        <v/>
      </c>
      <c r="I10" s="3" t="str">
        <f t="shared" si="14"/>
        <v/>
      </c>
      <c r="J10" s="3" t="str">
        <f t="shared" si="1"/>
        <v xml:space="preserve"> </v>
      </c>
      <c r="K10" s="3" t="str">
        <f t="shared" si="15"/>
        <v/>
      </c>
      <c r="L10" s="30" t="str">
        <f t="shared" si="2"/>
        <v/>
      </c>
      <c r="M10" s="29" t="str">
        <f t="shared" si="16"/>
        <v/>
      </c>
      <c r="N10" s="29" t="str">
        <f t="shared" si="17"/>
        <v/>
      </c>
      <c r="O10" s="29" t="str">
        <f t="shared" si="3"/>
        <v/>
      </c>
      <c r="P10" s="29" t="str">
        <f t="shared" si="4"/>
        <v/>
      </c>
      <c r="Q10" s="29" t="str">
        <f t="shared" si="5"/>
        <v/>
      </c>
      <c r="R10" s="23" t="str">
        <f t="shared" si="6"/>
        <v/>
      </c>
      <c r="S10" s="5" t="str">
        <f t="shared" si="18"/>
        <v/>
      </c>
      <c r="T10" s="5" t="str">
        <f t="shared" si="19"/>
        <v/>
      </c>
      <c r="U10" s="5" t="str">
        <f t="shared" si="20"/>
        <v/>
      </c>
      <c r="V10" s="4" t="str">
        <f t="shared" si="7"/>
        <v/>
      </c>
      <c r="W10" s="6" t="str">
        <f t="shared" si="8"/>
        <v/>
      </c>
      <c r="X10" s="22" t="str">
        <f t="shared" si="9"/>
        <v/>
      </c>
      <c r="Y10" s="22" t="str">
        <f t="shared" si="10"/>
        <v/>
      </c>
      <c r="Z10" s="22"/>
      <c r="AA10" s="1">
        <v>7</v>
      </c>
      <c r="AB10" s="1">
        <v>1</v>
      </c>
      <c r="AC10" s="1" t="s">
        <v>38</v>
      </c>
      <c r="AD10" s="2">
        <v>43972</v>
      </c>
      <c r="AE10" s="2">
        <v>43780</v>
      </c>
      <c r="AF10" s="36">
        <v>59.37</v>
      </c>
      <c r="AG10" s="36">
        <v>16.43</v>
      </c>
      <c r="AH10" s="36">
        <v>42.94</v>
      </c>
      <c r="AI10" s="36">
        <v>3.5</v>
      </c>
      <c r="AK10" s="34" t="e">
        <f t="shared" si="21"/>
        <v>#VALUE!</v>
      </c>
      <c r="AL10" s="34" t="e">
        <f t="shared" si="22"/>
        <v>#VALUE!</v>
      </c>
      <c r="AM10" s="34" t="e">
        <f t="shared" si="23"/>
        <v>#VALUE!</v>
      </c>
      <c r="AN10" s="34" t="e">
        <f t="shared" si="24"/>
        <v>#VALUE!</v>
      </c>
    </row>
    <row r="11" spans="2:40" x14ac:dyDescent="0.25">
      <c r="B11" s="16" t="s">
        <v>14</v>
      </c>
      <c r="C11" s="15">
        <v>43780</v>
      </c>
      <c r="E11" s="25">
        <f t="shared" si="11"/>
        <v>8</v>
      </c>
      <c r="F11" s="26" t="str">
        <f t="shared" si="12"/>
        <v/>
      </c>
      <c r="G11" s="27" t="str">
        <f t="shared" si="13"/>
        <v/>
      </c>
      <c r="H11" s="28" t="str">
        <f t="shared" si="0"/>
        <v/>
      </c>
      <c r="I11" s="3" t="str">
        <f t="shared" si="14"/>
        <v/>
      </c>
      <c r="J11" s="3" t="str">
        <f t="shared" si="1"/>
        <v xml:space="preserve"> </v>
      </c>
      <c r="K11" s="3" t="str">
        <f t="shared" si="15"/>
        <v/>
      </c>
      <c r="L11" s="30" t="str">
        <f t="shared" si="2"/>
        <v/>
      </c>
      <c r="M11" s="29" t="str">
        <f t="shared" si="16"/>
        <v/>
      </c>
      <c r="N11" s="29" t="str">
        <f t="shared" si="17"/>
        <v/>
      </c>
      <c r="O11" s="29" t="str">
        <f t="shared" si="3"/>
        <v/>
      </c>
      <c r="P11" s="29" t="str">
        <f t="shared" si="4"/>
        <v/>
      </c>
      <c r="Q11" s="29" t="str">
        <f t="shared" si="5"/>
        <v/>
      </c>
      <c r="R11" s="23" t="str">
        <f t="shared" si="6"/>
        <v/>
      </c>
      <c r="S11" s="5" t="str">
        <f t="shared" si="18"/>
        <v/>
      </c>
      <c r="T11" s="5" t="str">
        <f t="shared" si="19"/>
        <v/>
      </c>
      <c r="U11" s="5" t="str">
        <f t="shared" si="20"/>
        <v/>
      </c>
      <c r="V11" s="4" t="str">
        <f t="shared" si="7"/>
        <v/>
      </c>
      <c r="W11" s="6" t="str">
        <f t="shared" si="8"/>
        <v/>
      </c>
      <c r="X11" s="22" t="str">
        <f t="shared" si="9"/>
        <v/>
      </c>
      <c r="Y11" s="22" t="str">
        <f t="shared" si="10"/>
        <v/>
      </c>
      <c r="Z11" s="22"/>
      <c r="AA11" s="1">
        <v>8</v>
      </c>
      <c r="AB11" s="1">
        <v>1</v>
      </c>
      <c r="AC11" s="1" t="s">
        <v>38</v>
      </c>
      <c r="AD11" s="2">
        <v>44003</v>
      </c>
      <c r="AE11" s="2">
        <v>43780</v>
      </c>
      <c r="AF11" s="36">
        <v>59.37</v>
      </c>
      <c r="AG11" s="36">
        <v>15.41</v>
      </c>
      <c r="AH11" s="36">
        <v>43.96</v>
      </c>
      <c r="AI11" s="36">
        <v>3.47</v>
      </c>
      <c r="AK11" s="34" t="e">
        <f t="shared" si="21"/>
        <v>#VALUE!</v>
      </c>
      <c r="AL11" s="34" t="e">
        <f t="shared" si="22"/>
        <v>#VALUE!</v>
      </c>
      <c r="AM11" s="34" t="e">
        <f t="shared" si="23"/>
        <v>#VALUE!</v>
      </c>
      <c r="AN11" s="34" t="e">
        <f t="shared" si="24"/>
        <v>#VALUE!</v>
      </c>
    </row>
    <row r="12" spans="2:40" x14ac:dyDescent="0.25">
      <c r="B12" s="11" t="s">
        <v>33</v>
      </c>
      <c r="C12" s="32" t="s">
        <v>34</v>
      </c>
      <c r="E12" s="25">
        <f t="shared" si="11"/>
        <v>9</v>
      </c>
      <c r="F12" s="26" t="str">
        <f t="shared" si="12"/>
        <v/>
      </c>
      <c r="G12" s="27" t="str">
        <f t="shared" si="13"/>
        <v/>
      </c>
      <c r="H12" s="28" t="str">
        <f t="shared" si="0"/>
        <v/>
      </c>
      <c r="I12" s="3" t="str">
        <f t="shared" si="14"/>
        <v/>
      </c>
      <c r="J12" s="3" t="str">
        <f t="shared" si="1"/>
        <v xml:space="preserve"> </v>
      </c>
      <c r="K12" s="3" t="str">
        <f t="shared" si="15"/>
        <v/>
      </c>
      <c r="L12" s="30" t="str">
        <f t="shared" si="2"/>
        <v/>
      </c>
      <c r="M12" s="29" t="str">
        <f t="shared" si="16"/>
        <v/>
      </c>
      <c r="N12" s="29" t="str">
        <f t="shared" si="17"/>
        <v/>
      </c>
      <c r="O12" s="29" t="str">
        <f t="shared" si="3"/>
        <v/>
      </c>
      <c r="P12" s="29" t="str">
        <f t="shared" si="4"/>
        <v/>
      </c>
      <c r="Q12" s="29" t="str">
        <f t="shared" si="5"/>
        <v/>
      </c>
      <c r="R12" s="23" t="str">
        <f t="shared" si="6"/>
        <v/>
      </c>
      <c r="S12" s="5" t="str">
        <f t="shared" si="18"/>
        <v/>
      </c>
      <c r="T12" s="5" t="str">
        <f t="shared" si="19"/>
        <v/>
      </c>
      <c r="U12" s="5" t="str">
        <f t="shared" si="20"/>
        <v/>
      </c>
      <c r="V12" s="4" t="str">
        <f t="shared" si="7"/>
        <v/>
      </c>
      <c r="W12" s="6" t="str">
        <f t="shared" si="8"/>
        <v/>
      </c>
      <c r="X12" s="22" t="str">
        <f t="shared" si="9"/>
        <v/>
      </c>
      <c r="Y12" s="22" t="str">
        <f t="shared" si="10"/>
        <v/>
      </c>
      <c r="Z12" s="22"/>
      <c r="AA12" s="1">
        <v>9</v>
      </c>
      <c r="AB12" s="1">
        <v>1</v>
      </c>
      <c r="AC12" s="1" t="s">
        <v>38</v>
      </c>
      <c r="AD12" s="2">
        <v>44033</v>
      </c>
      <c r="AE12" s="2">
        <v>43780</v>
      </c>
      <c r="AF12" s="36">
        <v>59.37</v>
      </c>
      <c r="AG12" s="36">
        <v>17.21</v>
      </c>
      <c r="AH12" s="36">
        <v>42.16</v>
      </c>
      <c r="AI12" s="36">
        <v>3.44</v>
      </c>
      <c r="AK12" s="34" t="e">
        <f t="shared" si="21"/>
        <v>#VALUE!</v>
      </c>
      <c r="AL12" s="34" t="e">
        <f t="shared" si="22"/>
        <v>#VALUE!</v>
      </c>
      <c r="AM12" s="34" t="e">
        <f t="shared" si="23"/>
        <v>#VALUE!</v>
      </c>
      <c r="AN12" s="34" t="e">
        <f t="shared" si="24"/>
        <v>#VALUE!</v>
      </c>
    </row>
    <row r="13" spans="2:40" x14ac:dyDescent="0.25">
      <c r="B13" s="11" t="s">
        <v>13</v>
      </c>
      <c r="C13" s="14">
        <v>1870</v>
      </c>
      <c r="E13" s="25">
        <f t="shared" si="11"/>
        <v>10</v>
      </c>
      <c r="F13" s="26" t="str">
        <f t="shared" si="12"/>
        <v/>
      </c>
      <c r="G13" s="27" t="str">
        <f t="shared" si="13"/>
        <v/>
      </c>
      <c r="H13" s="28" t="str">
        <f t="shared" si="0"/>
        <v/>
      </c>
      <c r="I13" s="3" t="str">
        <f t="shared" si="14"/>
        <v/>
      </c>
      <c r="J13" s="3" t="str">
        <f t="shared" si="1"/>
        <v xml:space="preserve"> </v>
      </c>
      <c r="K13" s="3" t="str">
        <f t="shared" si="15"/>
        <v/>
      </c>
      <c r="L13" s="30" t="str">
        <f t="shared" si="2"/>
        <v/>
      </c>
      <c r="M13" s="29" t="str">
        <f t="shared" si="16"/>
        <v/>
      </c>
      <c r="N13" s="29" t="str">
        <f t="shared" si="17"/>
        <v/>
      </c>
      <c r="O13" s="29" t="str">
        <f t="shared" si="3"/>
        <v/>
      </c>
      <c r="P13" s="29" t="str">
        <f t="shared" si="4"/>
        <v/>
      </c>
      <c r="Q13" s="29" t="str">
        <f t="shared" si="5"/>
        <v/>
      </c>
      <c r="R13" s="23" t="str">
        <f t="shared" si="6"/>
        <v/>
      </c>
      <c r="S13" s="5" t="str">
        <f t="shared" si="18"/>
        <v/>
      </c>
      <c r="T13" s="5" t="str">
        <f t="shared" si="19"/>
        <v/>
      </c>
      <c r="U13" s="5" t="str">
        <f t="shared" si="20"/>
        <v/>
      </c>
      <c r="V13" s="4" t="str">
        <f t="shared" si="7"/>
        <v/>
      </c>
      <c r="W13" s="6" t="str">
        <f t="shared" si="8"/>
        <v/>
      </c>
      <c r="X13" s="22" t="str">
        <f t="shared" si="9"/>
        <v/>
      </c>
      <c r="Y13" s="22" t="str">
        <f t="shared" si="10"/>
        <v/>
      </c>
      <c r="Z13" s="22"/>
      <c r="AA13" s="1">
        <v>10</v>
      </c>
      <c r="AB13" s="1">
        <v>1</v>
      </c>
      <c r="AC13" s="1" t="s">
        <v>38</v>
      </c>
      <c r="AD13" s="2">
        <v>44064</v>
      </c>
      <c r="AE13" s="2">
        <v>43780</v>
      </c>
      <c r="AF13" s="36">
        <v>59.37</v>
      </c>
      <c r="AG13" s="36">
        <v>16.239999999999998</v>
      </c>
      <c r="AH13" s="36">
        <v>43.13</v>
      </c>
      <c r="AI13" s="36">
        <v>3.4</v>
      </c>
      <c r="AK13" s="34" t="e">
        <f t="shared" si="21"/>
        <v>#VALUE!</v>
      </c>
      <c r="AL13" s="34" t="e">
        <f t="shared" si="22"/>
        <v>#VALUE!</v>
      </c>
      <c r="AM13" s="34" t="e">
        <f t="shared" si="23"/>
        <v>#VALUE!</v>
      </c>
      <c r="AN13" s="34" t="e">
        <f t="shared" si="24"/>
        <v>#VALUE!</v>
      </c>
    </row>
    <row r="14" spans="2:40" x14ac:dyDescent="0.25">
      <c r="B14" s="11" t="s">
        <v>12</v>
      </c>
      <c r="C14" s="13">
        <f>2.4917%*12</f>
        <v>0.29900399999999999</v>
      </c>
      <c r="E14" s="25">
        <f t="shared" si="11"/>
        <v>11</v>
      </c>
      <c r="F14" s="26" t="str">
        <f t="shared" si="12"/>
        <v/>
      </c>
      <c r="G14" s="27" t="str">
        <f t="shared" si="13"/>
        <v/>
      </c>
      <c r="H14" s="28" t="str">
        <f t="shared" si="0"/>
        <v/>
      </c>
      <c r="I14" s="3" t="str">
        <f t="shared" si="14"/>
        <v/>
      </c>
      <c r="J14" s="3" t="str">
        <f t="shared" si="1"/>
        <v xml:space="preserve"> </v>
      </c>
      <c r="K14" s="3" t="str">
        <f t="shared" si="15"/>
        <v/>
      </c>
      <c r="L14" s="30" t="str">
        <f t="shared" si="2"/>
        <v/>
      </c>
      <c r="M14" s="29" t="str">
        <f t="shared" si="16"/>
        <v/>
      </c>
      <c r="N14" s="29" t="str">
        <f t="shared" si="17"/>
        <v/>
      </c>
      <c r="O14" s="29" t="str">
        <f t="shared" si="3"/>
        <v/>
      </c>
      <c r="P14" s="29" t="str">
        <f t="shared" si="4"/>
        <v/>
      </c>
      <c r="Q14" s="29" t="str">
        <f t="shared" si="5"/>
        <v/>
      </c>
      <c r="R14" s="23" t="str">
        <f t="shared" si="6"/>
        <v/>
      </c>
      <c r="S14" s="5" t="str">
        <f t="shared" si="18"/>
        <v/>
      </c>
      <c r="T14" s="5" t="str">
        <f t="shared" si="19"/>
        <v/>
      </c>
      <c r="U14" s="5" t="str">
        <f t="shared" si="20"/>
        <v/>
      </c>
      <c r="V14" s="4" t="str">
        <f t="shared" si="7"/>
        <v/>
      </c>
      <c r="W14" s="6" t="str">
        <f t="shared" si="8"/>
        <v/>
      </c>
      <c r="X14" s="22" t="str">
        <f t="shared" si="9"/>
        <v/>
      </c>
      <c r="Y14" s="22" t="str">
        <f t="shared" si="10"/>
        <v/>
      </c>
      <c r="Z14" s="22"/>
      <c r="AA14" s="1">
        <v>11</v>
      </c>
      <c r="AB14" s="1">
        <v>1</v>
      </c>
      <c r="AC14" s="1" t="s">
        <v>38</v>
      </c>
      <c r="AD14" s="2">
        <v>44095</v>
      </c>
      <c r="AE14" s="2">
        <v>43780</v>
      </c>
      <c r="AF14" s="36">
        <v>59.37</v>
      </c>
      <c r="AG14" s="36">
        <v>16.649999999999999</v>
      </c>
      <c r="AH14" s="36">
        <v>42.72</v>
      </c>
      <c r="AI14" s="36">
        <v>3.37</v>
      </c>
      <c r="AK14" s="34" t="e">
        <f t="shared" si="21"/>
        <v>#VALUE!</v>
      </c>
      <c r="AL14" s="34" t="e">
        <f t="shared" si="22"/>
        <v>#VALUE!</v>
      </c>
      <c r="AM14" s="34" t="e">
        <f t="shared" si="23"/>
        <v>#VALUE!</v>
      </c>
      <c r="AN14" s="34" t="e">
        <f t="shared" si="24"/>
        <v>#VALUE!</v>
      </c>
    </row>
    <row r="15" spans="2:40" x14ac:dyDescent="0.25">
      <c r="B15" s="11" t="s">
        <v>11</v>
      </c>
      <c r="C15" s="13">
        <f>2.4917%*12</f>
        <v>0.29900399999999999</v>
      </c>
      <c r="E15" s="25">
        <f t="shared" si="11"/>
        <v>12</v>
      </c>
      <c r="F15" s="26" t="str">
        <f t="shared" si="12"/>
        <v/>
      </c>
      <c r="G15" s="27" t="str">
        <f t="shared" si="13"/>
        <v/>
      </c>
      <c r="H15" s="28" t="str">
        <f t="shared" si="0"/>
        <v/>
      </c>
      <c r="I15" s="3" t="str">
        <f t="shared" si="14"/>
        <v/>
      </c>
      <c r="J15" s="3" t="str">
        <f t="shared" si="1"/>
        <v xml:space="preserve"> </v>
      </c>
      <c r="K15" s="3" t="str">
        <f t="shared" si="15"/>
        <v/>
      </c>
      <c r="L15" s="30" t="str">
        <f t="shared" si="2"/>
        <v/>
      </c>
      <c r="M15" s="29" t="str">
        <f t="shared" si="16"/>
        <v/>
      </c>
      <c r="N15" s="29" t="str">
        <f t="shared" si="17"/>
        <v/>
      </c>
      <c r="O15" s="29" t="str">
        <f t="shared" si="3"/>
        <v/>
      </c>
      <c r="P15" s="29" t="str">
        <f t="shared" si="4"/>
        <v/>
      </c>
      <c r="Q15" s="29" t="str">
        <f t="shared" si="5"/>
        <v/>
      </c>
      <c r="R15" s="23" t="str">
        <f t="shared" si="6"/>
        <v/>
      </c>
      <c r="S15" s="5" t="str">
        <f t="shared" si="18"/>
        <v/>
      </c>
      <c r="T15" s="5" t="str">
        <f t="shared" si="19"/>
        <v/>
      </c>
      <c r="U15" s="5" t="str">
        <f t="shared" si="20"/>
        <v/>
      </c>
      <c r="V15" s="4" t="str">
        <f t="shared" si="7"/>
        <v/>
      </c>
      <c r="W15" s="6" t="str">
        <f t="shared" si="8"/>
        <v/>
      </c>
      <c r="X15" s="22" t="str">
        <f t="shared" si="9"/>
        <v/>
      </c>
      <c r="Y15" s="22" t="str">
        <f t="shared" si="10"/>
        <v/>
      </c>
      <c r="Z15" s="22"/>
      <c r="AA15" s="1">
        <v>12</v>
      </c>
      <c r="AB15" s="1">
        <v>1</v>
      </c>
      <c r="AC15" s="1" t="s">
        <v>38</v>
      </c>
      <c r="AD15" s="2">
        <v>44125</v>
      </c>
      <c r="AE15" s="2">
        <v>43780</v>
      </c>
      <c r="AF15" s="36">
        <v>59.37</v>
      </c>
      <c r="AG15" s="36">
        <v>18.43</v>
      </c>
      <c r="AH15" s="36">
        <v>40.94</v>
      </c>
      <c r="AI15" s="36">
        <v>3.34</v>
      </c>
      <c r="AK15" s="34" t="e">
        <f t="shared" si="21"/>
        <v>#VALUE!</v>
      </c>
      <c r="AL15" s="34" t="e">
        <f t="shared" si="22"/>
        <v>#VALUE!</v>
      </c>
      <c r="AM15" s="34" t="e">
        <f t="shared" si="23"/>
        <v>#VALUE!</v>
      </c>
      <c r="AN15" s="34" t="e">
        <f t="shared" si="24"/>
        <v>#VALUE!</v>
      </c>
    </row>
    <row r="16" spans="2:40" x14ac:dyDescent="0.25">
      <c r="B16" s="11" t="s">
        <v>10</v>
      </c>
      <c r="C16" s="12">
        <v>60</v>
      </c>
      <c r="E16" s="25">
        <f t="shared" si="11"/>
        <v>13</v>
      </c>
      <c r="F16" s="26" t="str">
        <f t="shared" si="12"/>
        <v/>
      </c>
      <c r="G16" s="27" t="str">
        <f t="shared" si="13"/>
        <v/>
      </c>
      <c r="H16" s="28" t="str">
        <f t="shared" si="0"/>
        <v/>
      </c>
      <c r="I16" s="3" t="str">
        <f t="shared" si="14"/>
        <v/>
      </c>
      <c r="J16" s="3" t="str">
        <f t="shared" si="1"/>
        <v xml:space="preserve"> </v>
      </c>
      <c r="K16" s="3" t="str">
        <f t="shared" si="15"/>
        <v/>
      </c>
      <c r="L16" s="30" t="str">
        <f t="shared" si="2"/>
        <v/>
      </c>
      <c r="M16" s="29" t="str">
        <f t="shared" si="16"/>
        <v/>
      </c>
      <c r="N16" s="29" t="str">
        <f t="shared" si="17"/>
        <v/>
      </c>
      <c r="O16" s="29" t="str">
        <f t="shared" si="3"/>
        <v/>
      </c>
      <c r="P16" s="29" t="str">
        <f t="shared" si="4"/>
        <v/>
      </c>
      <c r="Q16" s="29" t="str">
        <f t="shared" si="5"/>
        <v/>
      </c>
      <c r="R16" s="23" t="str">
        <f t="shared" si="6"/>
        <v/>
      </c>
      <c r="S16" s="5" t="str">
        <f t="shared" si="18"/>
        <v/>
      </c>
      <c r="T16" s="5" t="str">
        <f t="shared" si="19"/>
        <v/>
      </c>
      <c r="U16" s="5" t="str">
        <f t="shared" si="20"/>
        <v/>
      </c>
      <c r="V16" s="4" t="str">
        <f t="shared" si="7"/>
        <v/>
      </c>
      <c r="W16" s="6" t="str">
        <f t="shared" si="8"/>
        <v/>
      </c>
      <c r="X16" s="22" t="str">
        <f t="shared" si="9"/>
        <v/>
      </c>
      <c r="Y16" s="22" t="str">
        <f t="shared" si="10"/>
        <v/>
      </c>
      <c r="Z16" s="22"/>
      <c r="AA16" s="1">
        <v>13</v>
      </c>
      <c r="AB16" s="1">
        <v>1</v>
      </c>
      <c r="AC16" s="1" t="s">
        <v>38</v>
      </c>
      <c r="AD16" s="2">
        <v>44156</v>
      </c>
      <c r="AE16" s="2">
        <v>43780</v>
      </c>
      <c r="AF16" s="36">
        <v>59.37</v>
      </c>
      <c r="AG16" s="36">
        <v>17.54</v>
      </c>
      <c r="AH16" s="36">
        <v>41.83</v>
      </c>
      <c r="AI16" s="36">
        <v>3.3</v>
      </c>
      <c r="AK16" s="34" t="e">
        <f t="shared" si="21"/>
        <v>#VALUE!</v>
      </c>
      <c r="AL16" s="34" t="e">
        <f t="shared" si="22"/>
        <v>#VALUE!</v>
      </c>
      <c r="AM16" s="34" t="e">
        <f t="shared" si="23"/>
        <v>#VALUE!</v>
      </c>
      <c r="AN16" s="34" t="e">
        <f t="shared" si="24"/>
        <v>#VALUE!</v>
      </c>
    </row>
    <row r="17" spans="2:40" x14ac:dyDescent="0.25">
      <c r="B17" s="11" t="s">
        <v>9</v>
      </c>
      <c r="C17" s="12">
        <v>60</v>
      </c>
      <c r="E17" s="25">
        <f t="shared" si="11"/>
        <v>14</v>
      </c>
      <c r="F17" s="26" t="str">
        <f t="shared" si="12"/>
        <v/>
      </c>
      <c r="G17" s="27" t="str">
        <f t="shared" si="13"/>
        <v/>
      </c>
      <c r="H17" s="28" t="str">
        <f t="shared" si="0"/>
        <v/>
      </c>
      <c r="I17" s="3" t="str">
        <f t="shared" si="14"/>
        <v/>
      </c>
      <c r="J17" s="3" t="str">
        <f t="shared" si="1"/>
        <v xml:space="preserve"> </v>
      </c>
      <c r="K17" s="3" t="str">
        <f t="shared" si="15"/>
        <v/>
      </c>
      <c r="L17" s="30" t="str">
        <f t="shared" si="2"/>
        <v/>
      </c>
      <c r="M17" s="29" t="str">
        <f t="shared" si="16"/>
        <v/>
      </c>
      <c r="N17" s="29" t="str">
        <f>IFERROR(IF(AND(R16="N",R17="Y"),SUM(X17:Y17),IF(AND(R16="Y",R17="N"),SUM(X17:Y17),ROUND((M17+(0*(-1)))*(H17)+(0*(-1)),2))),"")</f>
        <v/>
      </c>
      <c r="O17" s="29" t="str">
        <f t="shared" si="3"/>
        <v/>
      </c>
      <c r="P17" s="29" t="str">
        <f t="shared" si="4"/>
        <v/>
      </c>
      <c r="Q17" s="29" t="str">
        <f t="shared" si="5"/>
        <v/>
      </c>
      <c r="R17" s="23" t="str">
        <f t="shared" si="6"/>
        <v/>
      </c>
      <c r="S17" s="5" t="str">
        <f t="shared" si="18"/>
        <v/>
      </c>
      <c r="T17" s="5" t="str">
        <f t="shared" si="19"/>
        <v/>
      </c>
      <c r="U17" s="5" t="str">
        <f t="shared" si="20"/>
        <v/>
      </c>
      <c r="V17" s="4" t="str">
        <f t="shared" si="7"/>
        <v/>
      </c>
      <c r="W17" s="6" t="str">
        <f t="shared" si="8"/>
        <v/>
      </c>
      <c r="X17" s="22" t="str">
        <f t="shared" si="9"/>
        <v/>
      </c>
      <c r="Y17" s="22" t="str">
        <f t="shared" si="10"/>
        <v/>
      </c>
      <c r="Z17" s="22"/>
      <c r="AA17" s="1">
        <v>14</v>
      </c>
      <c r="AB17" s="1">
        <v>1</v>
      </c>
      <c r="AC17" s="1" t="s">
        <v>38</v>
      </c>
      <c r="AD17" s="2">
        <v>44186</v>
      </c>
      <c r="AE17" s="2">
        <v>43780</v>
      </c>
      <c r="AF17" s="36">
        <v>59.37</v>
      </c>
      <c r="AG17" s="36">
        <v>19.32</v>
      </c>
      <c r="AH17" s="36">
        <v>40.049999999999997</v>
      </c>
      <c r="AI17" s="36">
        <v>3.26</v>
      </c>
      <c r="AK17" s="34" t="e">
        <f t="shared" si="21"/>
        <v>#VALUE!</v>
      </c>
      <c r="AL17" s="34" t="e">
        <f t="shared" si="22"/>
        <v>#VALUE!</v>
      </c>
      <c r="AM17" s="34" t="e">
        <f t="shared" si="23"/>
        <v>#VALUE!</v>
      </c>
      <c r="AN17" s="34" t="e">
        <f t="shared" si="24"/>
        <v>#VALUE!</v>
      </c>
    </row>
    <row r="18" spans="2:40" x14ac:dyDescent="0.25">
      <c r="B18" s="11" t="s">
        <v>8</v>
      </c>
      <c r="C18" s="10">
        <v>43790</v>
      </c>
      <c r="E18" s="25">
        <f t="shared" si="11"/>
        <v>15</v>
      </c>
      <c r="F18" s="26" t="str">
        <f t="shared" si="12"/>
        <v/>
      </c>
      <c r="G18" s="27" t="str">
        <f t="shared" si="13"/>
        <v/>
      </c>
      <c r="H18" s="28" t="str">
        <f t="shared" si="0"/>
        <v/>
      </c>
      <c r="I18" s="3" t="str">
        <f t="shared" si="14"/>
        <v/>
      </c>
      <c r="J18" s="3" t="str">
        <f t="shared" si="1"/>
        <v xml:space="preserve"> </v>
      </c>
      <c r="K18" s="3" t="str">
        <f t="shared" si="15"/>
        <v/>
      </c>
      <c r="L18" s="30" t="str">
        <f t="shared" si="2"/>
        <v/>
      </c>
      <c r="M18" s="29" t="str">
        <f t="shared" si="16"/>
        <v/>
      </c>
      <c r="N18" s="29" t="str">
        <f t="shared" si="17"/>
        <v/>
      </c>
      <c r="O18" s="29" t="str">
        <f t="shared" si="3"/>
        <v/>
      </c>
      <c r="P18" s="29" t="str">
        <f t="shared" si="4"/>
        <v/>
      </c>
      <c r="Q18" s="29" t="str">
        <f t="shared" si="5"/>
        <v/>
      </c>
      <c r="R18" s="23" t="str">
        <f t="shared" si="6"/>
        <v/>
      </c>
      <c r="S18" s="5" t="str">
        <f t="shared" si="18"/>
        <v/>
      </c>
      <c r="T18" s="5" t="str">
        <f t="shared" si="19"/>
        <v/>
      </c>
      <c r="U18" s="5" t="str">
        <f t="shared" si="20"/>
        <v/>
      </c>
      <c r="V18" s="4" t="str">
        <f t="shared" si="7"/>
        <v/>
      </c>
      <c r="W18" s="6" t="str">
        <f t="shared" si="8"/>
        <v/>
      </c>
      <c r="X18" s="22" t="str">
        <f t="shared" si="9"/>
        <v/>
      </c>
      <c r="Y18" s="22" t="str">
        <f t="shared" si="10"/>
        <v/>
      </c>
      <c r="Z18" s="22"/>
      <c r="AA18" s="1">
        <v>15</v>
      </c>
      <c r="AB18" s="1">
        <v>1</v>
      </c>
      <c r="AC18" s="1" t="s">
        <v>38</v>
      </c>
      <c r="AD18" s="2">
        <v>44217</v>
      </c>
      <c r="AE18" s="2">
        <v>43780</v>
      </c>
      <c r="AF18" s="36">
        <v>59.37</v>
      </c>
      <c r="AG18" s="36">
        <v>18.39</v>
      </c>
      <c r="AH18" s="36">
        <v>40.98</v>
      </c>
      <c r="AI18" s="36">
        <v>3.23</v>
      </c>
      <c r="AK18" s="34" t="e">
        <f t="shared" si="21"/>
        <v>#VALUE!</v>
      </c>
      <c r="AL18" s="34" t="e">
        <f t="shared" si="22"/>
        <v>#VALUE!</v>
      </c>
      <c r="AM18" s="34" t="e">
        <f t="shared" si="23"/>
        <v>#VALUE!</v>
      </c>
      <c r="AN18" s="34" t="e">
        <f t="shared" si="24"/>
        <v>#VALUE!</v>
      </c>
    </row>
    <row r="19" spans="2:40" x14ac:dyDescent="0.25">
      <c r="B19" s="9" t="s">
        <v>7</v>
      </c>
      <c r="C19" s="8" t="str">
        <f>IFERROR(TRUNC(VLOOKUP($C$17,$E$4:$L$69,8),2),"")</f>
        <v/>
      </c>
      <c r="E19" s="25">
        <f t="shared" si="11"/>
        <v>16</v>
      </c>
      <c r="F19" s="26" t="str">
        <f t="shared" si="12"/>
        <v/>
      </c>
      <c r="G19" s="27" t="str">
        <f t="shared" si="13"/>
        <v/>
      </c>
      <c r="H19" s="28" t="str">
        <f t="shared" si="0"/>
        <v/>
      </c>
      <c r="I19" s="3" t="str">
        <f t="shared" si="14"/>
        <v/>
      </c>
      <c r="J19" s="3" t="str">
        <f t="shared" si="1"/>
        <v xml:space="preserve"> </v>
      </c>
      <c r="K19" s="3" t="str">
        <f t="shared" si="15"/>
        <v/>
      </c>
      <c r="L19" s="30" t="str">
        <f t="shared" si="2"/>
        <v/>
      </c>
      <c r="M19" s="29" t="str">
        <f t="shared" si="16"/>
        <v/>
      </c>
      <c r="N19" s="29" t="str">
        <f t="shared" si="17"/>
        <v/>
      </c>
      <c r="O19" s="29" t="str">
        <f t="shared" si="3"/>
        <v/>
      </c>
      <c r="P19" s="29" t="str">
        <f t="shared" si="4"/>
        <v/>
      </c>
      <c r="Q19" s="29" t="str">
        <f t="shared" si="5"/>
        <v/>
      </c>
      <c r="R19" s="23" t="str">
        <f t="shared" si="6"/>
        <v/>
      </c>
      <c r="S19" s="5" t="str">
        <f t="shared" si="18"/>
        <v/>
      </c>
      <c r="T19" s="5" t="str">
        <f t="shared" si="19"/>
        <v/>
      </c>
      <c r="U19" s="5" t="str">
        <f t="shared" si="20"/>
        <v/>
      </c>
      <c r="V19" s="4" t="str">
        <f t="shared" si="7"/>
        <v/>
      </c>
      <c r="W19" s="6" t="str">
        <f t="shared" si="8"/>
        <v/>
      </c>
      <c r="X19" s="22" t="str">
        <f t="shared" si="9"/>
        <v/>
      </c>
      <c r="Y19" s="22" t="str">
        <f t="shared" si="10"/>
        <v/>
      </c>
      <c r="Z19" s="22"/>
      <c r="AA19" s="1">
        <v>16</v>
      </c>
      <c r="AB19" s="1">
        <v>1</v>
      </c>
      <c r="AC19" s="1" t="s">
        <v>38</v>
      </c>
      <c r="AD19" s="2">
        <v>44248</v>
      </c>
      <c r="AE19" s="2">
        <v>43780</v>
      </c>
      <c r="AF19" s="36">
        <v>59.37</v>
      </c>
      <c r="AG19" s="36">
        <v>18.82</v>
      </c>
      <c r="AH19" s="36">
        <v>40.549999999999997</v>
      </c>
      <c r="AI19" s="36">
        <v>3.19</v>
      </c>
      <c r="AK19" s="34" t="e">
        <f t="shared" si="21"/>
        <v>#VALUE!</v>
      </c>
      <c r="AL19" s="34" t="e">
        <f t="shared" si="22"/>
        <v>#VALUE!</v>
      </c>
      <c r="AM19" s="34" t="e">
        <f t="shared" si="23"/>
        <v>#VALUE!</v>
      </c>
      <c r="AN19" s="34" t="e">
        <f t="shared" si="24"/>
        <v>#VALUE!</v>
      </c>
    </row>
    <row r="20" spans="2:40" x14ac:dyDescent="0.25">
      <c r="E20" s="25">
        <f t="shared" si="11"/>
        <v>17</v>
      </c>
      <c r="F20" s="26" t="str">
        <f t="shared" si="12"/>
        <v/>
      </c>
      <c r="G20" s="27" t="str">
        <f t="shared" si="13"/>
        <v/>
      </c>
      <c r="H20" s="28" t="str">
        <f t="shared" si="0"/>
        <v/>
      </c>
      <c r="I20" s="3" t="str">
        <f t="shared" si="14"/>
        <v/>
      </c>
      <c r="J20" s="3" t="str">
        <f t="shared" si="1"/>
        <v xml:space="preserve"> </v>
      </c>
      <c r="K20" s="3" t="str">
        <f t="shared" si="15"/>
        <v/>
      </c>
      <c r="L20" s="30" t="str">
        <f t="shared" si="2"/>
        <v/>
      </c>
      <c r="M20" s="29" t="str">
        <f t="shared" si="16"/>
        <v/>
      </c>
      <c r="N20" s="29" t="str">
        <f t="shared" si="17"/>
        <v/>
      </c>
      <c r="O20" s="29" t="str">
        <f t="shared" si="3"/>
        <v/>
      </c>
      <c r="P20" s="29" t="str">
        <f t="shared" si="4"/>
        <v/>
      </c>
      <c r="Q20" s="29" t="str">
        <f t="shared" si="5"/>
        <v/>
      </c>
      <c r="R20" s="23" t="str">
        <f t="shared" si="6"/>
        <v/>
      </c>
      <c r="S20" s="5" t="str">
        <f t="shared" si="18"/>
        <v/>
      </c>
      <c r="T20" s="5" t="str">
        <f t="shared" si="19"/>
        <v/>
      </c>
      <c r="U20" s="5" t="str">
        <f t="shared" si="20"/>
        <v/>
      </c>
      <c r="V20" s="4" t="str">
        <f t="shared" si="7"/>
        <v/>
      </c>
      <c r="W20" s="6" t="str">
        <f t="shared" si="8"/>
        <v/>
      </c>
      <c r="X20" s="22" t="str">
        <f t="shared" si="9"/>
        <v/>
      </c>
      <c r="Y20" s="22" t="str">
        <f t="shared" si="10"/>
        <v/>
      </c>
      <c r="Z20" s="22"/>
      <c r="AA20" s="1">
        <v>17</v>
      </c>
      <c r="AB20" s="1">
        <v>1</v>
      </c>
      <c r="AC20" s="1" t="s">
        <v>38</v>
      </c>
      <c r="AD20" s="2">
        <v>44276</v>
      </c>
      <c r="AE20" s="2">
        <v>43780</v>
      </c>
      <c r="AF20" s="36">
        <v>59.37</v>
      </c>
      <c r="AG20" s="36">
        <v>23.18</v>
      </c>
      <c r="AH20" s="36">
        <v>36.19</v>
      </c>
      <c r="AI20" s="36">
        <v>3.15</v>
      </c>
      <c r="AK20" s="34" t="e">
        <f t="shared" si="21"/>
        <v>#VALUE!</v>
      </c>
      <c r="AL20" s="34" t="e">
        <f t="shared" si="22"/>
        <v>#VALUE!</v>
      </c>
      <c r="AM20" s="34" t="e">
        <f t="shared" si="23"/>
        <v>#VALUE!</v>
      </c>
      <c r="AN20" s="34" t="e">
        <f t="shared" si="24"/>
        <v>#VALUE!</v>
      </c>
    </row>
    <row r="21" spans="2:40" x14ac:dyDescent="0.25">
      <c r="E21" s="25">
        <f t="shared" si="11"/>
        <v>18</v>
      </c>
      <c r="F21" s="26" t="str">
        <f t="shared" si="12"/>
        <v/>
      </c>
      <c r="G21" s="27" t="str">
        <f t="shared" si="13"/>
        <v/>
      </c>
      <c r="H21" s="28" t="str">
        <f t="shared" si="0"/>
        <v/>
      </c>
      <c r="I21" s="3" t="str">
        <f t="shared" si="14"/>
        <v/>
      </c>
      <c r="J21" s="3" t="str">
        <f t="shared" si="1"/>
        <v xml:space="preserve"> </v>
      </c>
      <c r="K21" s="3" t="str">
        <f t="shared" si="15"/>
        <v/>
      </c>
      <c r="L21" s="30" t="str">
        <f t="shared" si="2"/>
        <v/>
      </c>
      <c r="M21" s="29" t="str">
        <f t="shared" si="16"/>
        <v/>
      </c>
      <c r="N21" s="29" t="str">
        <f t="shared" si="17"/>
        <v/>
      </c>
      <c r="O21" s="29" t="str">
        <f t="shared" si="3"/>
        <v/>
      </c>
      <c r="P21" s="29" t="str">
        <f t="shared" si="4"/>
        <v/>
      </c>
      <c r="Q21" s="29" t="str">
        <f t="shared" si="5"/>
        <v/>
      </c>
      <c r="R21" s="23" t="str">
        <f t="shared" si="6"/>
        <v/>
      </c>
      <c r="S21" s="5" t="str">
        <f t="shared" si="18"/>
        <v/>
      </c>
      <c r="T21" s="5" t="str">
        <f t="shared" si="19"/>
        <v/>
      </c>
      <c r="U21" s="5" t="str">
        <f t="shared" si="20"/>
        <v/>
      </c>
      <c r="V21" s="4" t="str">
        <f t="shared" si="7"/>
        <v/>
      </c>
      <c r="W21" s="6" t="str">
        <f t="shared" si="8"/>
        <v/>
      </c>
      <c r="X21" s="22" t="str">
        <f t="shared" si="9"/>
        <v/>
      </c>
      <c r="Y21" s="22" t="str">
        <f t="shared" si="10"/>
        <v/>
      </c>
      <c r="Z21" s="22"/>
      <c r="AA21" s="1">
        <v>18</v>
      </c>
      <c r="AB21" s="1">
        <v>1</v>
      </c>
      <c r="AC21" s="1" t="s">
        <v>38</v>
      </c>
      <c r="AD21" s="2">
        <v>44307</v>
      </c>
      <c r="AE21" s="2">
        <v>43780</v>
      </c>
      <c r="AF21" s="36">
        <v>59.37</v>
      </c>
      <c r="AG21" s="36">
        <v>19.89</v>
      </c>
      <c r="AH21" s="36">
        <v>39.479999999999997</v>
      </c>
      <c r="AI21" s="36">
        <v>3.1</v>
      </c>
      <c r="AK21" s="34" t="e">
        <f t="shared" si="21"/>
        <v>#VALUE!</v>
      </c>
      <c r="AL21" s="34" t="e">
        <f t="shared" si="22"/>
        <v>#VALUE!</v>
      </c>
      <c r="AM21" s="34" t="e">
        <f t="shared" si="23"/>
        <v>#VALUE!</v>
      </c>
      <c r="AN21" s="34" t="e">
        <f t="shared" si="24"/>
        <v>#VALUE!</v>
      </c>
    </row>
    <row r="22" spans="2:40" x14ac:dyDescent="0.25">
      <c r="E22" s="25">
        <f t="shared" si="11"/>
        <v>19</v>
      </c>
      <c r="F22" s="26" t="str">
        <f t="shared" si="12"/>
        <v/>
      </c>
      <c r="G22" s="27" t="str">
        <f t="shared" si="13"/>
        <v/>
      </c>
      <c r="H22" s="28" t="str">
        <f t="shared" si="0"/>
        <v/>
      </c>
      <c r="I22" s="3" t="str">
        <f t="shared" si="14"/>
        <v/>
      </c>
      <c r="J22" s="3" t="str">
        <f t="shared" si="1"/>
        <v xml:space="preserve"> </v>
      </c>
      <c r="K22" s="3" t="str">
        <f t="shared" si="15"/>
        <v/>
      </c>
      <c r="L22" s="30" t="str">
        <f t="shared" si="2"/>
        <v/>
      </c>
      <c r="M22" s="29" t="str">
        <f t="shared" si="16"/>
        <v/>
      </c>
      <c r="N22" s="29" t="str">
        <f t="shared" si="17"/>
        <v/>
      </c>
      <c r="O22" s="29" t="str">
        <f t="shared" si="3"/>
        <v/>
      </c>
      <c r="P22" s="29" t="str">
        <f t="shared" si="4"/>
        <v/>
      </c>
      <c r="Q22" s="29" t="str">
        <f t="shared" si="5"/>
        <v/>
      </c>
      <c r="R22" s="23" t="str">
        <f t="shared" si="6"/>
        <v/>
      </c>
      <c r="S22" s="5" t="str">
        <f t="shared" si="18"/>
        <v/>
      </c>
      <c r="T22" s="5" t="str">
        <f t="shared" si="19"/>
        <v/>
      </c>
      <c r="U22" s="5" t="str">
        <f t="shared" si="20"/>
        <v/>
      </c>
      <c r="V22" s="4" t="str">
        <f t="shared" si="7"/>
        <v/>
      </c>
      <c r="W22" s="6" t="str">
        <f t="shared" si="8"/>
        <v/>
      </c>
      <c r="X22" s="22" t="str">
        <f t="shared" si="9"/>
        <v/>
      </c>
      <c r="Y22" s="22" t="str">
        <f t="shared" si="10"/>
        <v/>
      </c>
      <c r="Z22" s="22"/>
      <c r="AA22" s="1">
        <v>19</v>
      </c>
      <c r="AB22" s="1">
        <v>1</v>
      </c>
      <c r="AC22" s="1" t="s">
        <v>38</v>
      </c>
      <c r="AD22" s="2">
        <v>44337</v>
      </c>
      <c r="AE22" s="2">
        <v>43780</v>
      </c>
      <c r="AF22" s="36">
        <v>59.37</v>
      </c>
      <c r="AG22" s="36">
        <v>21.65</v>
      </c>
      <c r="AH22" s="36">
        <v>37.72</v>
      </c>
      <c r="AI22" s="36">
        <v>3.06</v>
      </c>
      <c r="AK22" s="34" t="e">
        <f t="shared" si="21"/>
        <v>#VALUE!</v>
      </c>
      <c r="AL22" s="34" t="e">
        <f t="shared" si="22"/>
        <v>#VALUE!</v>
      </c>
      <c r="AM22" s="34" t="e">
        <f t="shared" si="23"/>
        <v>#VALUE!</v>
      </c>
      <c r="AN22" s="34" t="e">
        <f t="shared" si="24"/>
        <v>#VALUE!</v>
      </c>
    </row>
    <row r="23" spans="2:40" x14ac:dyDescent="0.25">
      <c r="E23" s="25">
        <f t="shared" si="11"/>
        <v>20</v>
      </c>
      <c r="F23" s="26" t="str">
        <f t="shared" si="12"/>
        <v/>
      </c>
      <c r="G23" s="27" t="str">
        <f t="shared" si="13"/>
        <v/>
      </c>
      <c r="H23" s="28" t="str">
        <f t="shared" si="0"/>
        <v/>
      </c>
      <c r="I23" s="3" t="str">
        <f t="shared" si="14"/>
        <v/>
      </c>
      <c r="J23" s="3" t="str">
        <f t="shared" si="1"/>
        <v xml:space="preserve"> </v>
      </c>
      <c r="K23" s="3" t="str">
        <f t="shared" si="15"/>
        <v/>
      </c>
      <c r="L23" s="30" t="str">
        <f t="shared" si="2"/>
        <v/>
      </c>
      <c r="M23" s="29" t="str">
        <f t="shared" si="16"/>
        <v/>
      </c>
      <c r="N23" s="29" t="str">
        <f t="shared" si="17"/>
        <v/>
      </c>
      <c r="O23" s="29" t="str">
        <f t="shared" si="3"/>
        <v/>
      </c>
      <c r="P23" s="29" t="str">
        <f t="shared" si="4"/>
        <v/>
      </c>
      <c r="Q23" s="29" t="str">
        <f t="shared" si="5"/>
        <v/>
      </c>
      <c r="R23" s="23" t="str">
        <f t="shared" si="6"/>
        <v/>
      </c>
      <c r="S23" s="5" t="str">
        <f t="shared" si="18"/>
        <v/>
      </c>
      <c r="T23" s="5" t="str">
        <f t="shared" si="19"/>
        <v/>
      </c>
      <c r="U23" s="5" t="str">
        <f t="shared" si="20"/>
        <v/>
      </c>
      <c r="V23" s="4" t="str">
        <f t="shared" si="7"/>
        <v/>
      </c>
      <c r="W23" s="6" t="str">
        <f t="shared" si="8"/>
        <v/>
      </c>
      <c r="X23" s="22" t="str">
        <f t="shared" si="9"/>
        <v/>
      </c>
      <c r="Y23" s="22" t="str">
        <f t="shared" si="10"/>
        <v/>
      </c>
      <c r="Z23" s="22"/>
      <c r="AA23" s="1">
        <v>20</v>
      </c>
      <c r="AB23" s="1">
        <v>1</v>
      </c>
      <c r="AC23" s="1" t="s">
        <v>38</v>
      </c>
      <c r="AD23" s="2">
        <v>44368</v>
      </c>
      <c r="AE23" s="2">
        <v>43780</v>
      </c>
      <c r="AF23" s="36">
        <v>59.37</v>
      </c>
      <c r="AG23" s="36">
        <v>20.95</v>
      </c>
      <c r="AH23" s="36">
        <v>38.42</v>
      </c>
      <c r="AI23" s="36">
        <v>3.02</v>
      </c>
      <c r="AK23" s="34" t="e">
        <f t="shared" si="21"/>
        <v>#VALUE!</v>
      </c>
      <c r="AL23" s="34" t="e">
        <f t="shared" si="22"/>
        <v>#VALUE!</v>
      </c>
      <c r="AM23" s="34" t="e">
        <f t="shared" si="23"/>
        <v>#VALUE!</v>
      </c>
      <c r="AN23" s="34" t="e">
        <f t="shared" si="24"/>
        <v>#VALUE!</v>
      </c>
    </row>
    <row r="24" spans="2:40" x14ac:dyDescent="0.25">
      <c r="E24" s="25">
        <f t="shared" si="11"/>
        <v>21</v>
      </c>
      <c r="F24" s="26" t="str">
        <f t="shared" si="12"/>
        <v/>
      </c>
      <c r="G24" s="27" t="str">
        <f t="shared" si="13"/>
        <v/>
      </c>
      <c r="H24" s="28" t="str">
        <f t="shared" si="0"/>
        <v/>
      </c>
      <c r="I24" s="7" t="str">
        <f t="shared" si="14"/>
        <v/>
      </c>
      <c r="J24" s="3" t="str">
        <f t="shared" si="1"/>
        <v xml:space="preserve"> </v>
      </c>
      <c r="K24" s="3" t="str">
        <f t="shared" si="15"/>
        <v/>
      </c>
      <c r="L24" s="30" t="str">
        <f t="shared" si="2"/>
        <v/>
      </c>
      <c r="M24" s="29" t="str">
        <f t="shared" si="16"/>
        <v/>
      </c>
      <c r="N24" s="29" t="str">
        <f t="shared" si="17"/>
        <v/>
      </c>
      <c r="O24" s="29" t="str">
        <f t="shared" si="3"/>
        <v/>
      </c>
      <c r="P24" s="29" t="str">
        <f t="shared" si="4"/>
        <v/>
      </c>
      <c r="Q24" s="29" t="str">
        <f t="shared" si="5"/>
        <v/>
      </c>
      <c r="R24" s="23" t="str">
        <f t="shared" si="6"/>
        <v/>
      </c>
      <c r="S24" s="5" t="str">
        <f t="shared" si="18"/>
        <v/>
      </c>
      <c r="T24" s="5" t="str">
        <f t="shared" si="19"/>
        <v/>
      </c>
      <c r="U24" s="5" t="str">
        <f t="shared" si="20"/>
        <v/>
      </c>
      <c r="V24" s="4" t="str">
        <f t="shared" si="7"/>
        <v/>
      </c>
      <c r="W24" s="6" t="str">
        <f t="shared" si="8"/>
        <v/>
      </c>
      <c r="X24" s="22" t="str">
        <f t="shared" si="9"/>
        <v/>
      </c>
      <c r="Y24" s="22" t="str">
        <f t="shared" si="10"/>
        <v/>
      </c>
      <c r="Z24" s="22"/>
      <c r="AA24" s="1">
        <v>21</v>
      </c>
      <c r="AB24" s="1">
        <v>1</v>
      </c>
      <c r="AC24" s="1" t="s">
        <v>38</v>
      </c>
      <c r="AD24" s="2">
        <v>44398</v>
      </c>
      <c r="AE24" s="2">
        <v>43780</v>
      </c>
      <c r="AF24" s="36">
        <v>59.37</v>
      </c>
      <c r="AG24" s="36">
        <v>22.7</v>
      </c>
      <c r="AH24" s="36">
        <v>36.67</v>
      </c>
      <c r="AI24" s="36">
        <v>2.98</v>
      </c>
      <c r="AK24" s="34" t="e">
        <f t="shared" si="21"/>
        <v>#VALUE!</v>
      </c>
      <c r="AL24" s="34" t="e">
        <f t="shared" si="22"/>
        <v>#VALUE!</v>
      </c>
      <c r="AM24" s="34" t="e">
        <f t="shared" si="23"/>
        <v>#VALUE!</v>
      </c>
      <c r="AN24" s="34" t="e">
        <f t="shared" si="24"/>
        <v>#VALUE!</v>
      </c>
    </row>
    <row r="25" spans="2:40" x14ac:dyDescent="0.25">
      <c r="E25" s="25">
        <f t="shared" si="11"/>
        <v>22</v>
      </c>
      <c r="F25" s="26" t="str">
        <f t="shared" si="12"/>
        <v/>
      </c>
      <c r="G25" s="27" t="str">
        <f t="shared" si="13"/>
        <v/>
      </c>
      <c r="H25" s="28" t="str">
        <f t="shared" si="0"/>
        <v/>
      </c>
      <c r="I25" s="3" t="str">
        <f t="shared" si="14"/>
        <v/>
      </c>
      <c r="J25" s="3" t="str">
        <f t="shared" si="1"/>
        <v xml:space="preserve"> </v>
      </c>
      <c r="K25" s="7" t="str">
        <f t="shared" si="15"/>
        <v/>
      </c>
      <c r="L25" s="30" t="str">
        <f t="shared" si="2"/>
        <v/>
      </c>
      <c r="M25" s="29" t="str">
        <f t="shared" si="16"/>
        <v/>
      </c>
      <c r="N25" s="29" t="str">
        <f t="shared" si="17"/>
        <v/>
      </c>
      <c r="O25" s="29" t="str">
        <f t="shared" si="3"/>
        <v/>
      </c>
      <c r="P25" s="29" t="str">
        <f t="shared" si="4"/>
        <v/>
      </c>
      <c r="Q25" s="29" t="str">
        <f t="shared" si="5"/>
        <v/>
      </c>
      <c r="R25" s="23" t="str">
        <f t="shared" si="6"/>
        <v/>
      </c>
      <c r="S25" s="5" t="str">
        <f t="shared" si="18"/>
        <v/>
      </c>
      <c r="T25" s="5" t="str">
        <f t="shared" si="19"/>
        <v/>
      </c>
      <c r="U25" s="5" t="str">
        <f t="shared" si="20"/>
        <v/>
      </c>
      <c r="V25" s="4" t="str">
        <f t="shared" si="7"/>
        <v/>
      </c>
      <c r="W25" s="6" t="str">
        <f t="shared" si="8"/>
        <v/>
      </c>
      <c r="X25" s="22" t="str">
        <f t="shared" si="9"/>
        <v/>
      </c>
      <c r="Y25" s="22" t="str">
        <f t="shared" si="10"/>
        <v/>
      </c>
      <c r="Z25" s="22"/>
      <c r="AA25" s="1">
        <v>22</v>
      </c>
      <c r="AB25" s="1">
        <v>1</v>
      </c>
      <c r="AC25" s="1" t="s">
        <v>38</v>
      </c>
      <c r="AD25" s="2">
        <v>44429</v>
      </c>
      <c r="AE25" s="2">
        <v>43780</v>
      </c>
      <c r="AF25" s="36">
        <v>59.37</v>
      </c>
      <c r="AG25" s="36">
        <v>22.05</v>
      </c>
      <c r="AH25" s="36">
        <v>37.32</v>
      </c>
      <c r="AI25" s="36">
        <v>2.93</v>
      </c>
      <c r="AK25" s="34" t="e">
        <f t="shared" si="21"/>
        <v>#VALUE!</v>
      </c>
      <c r="AL25" s="34" t="e">
        <f t="shared" si="22"/>
        <v>#VALUE!</v>
      </c>
      <c r="AM25" s="34" t="e">
        <f t="shared" si="23"/>
        <v>#VALUE!</v>
      </c>
      <c r="AN25" s="34" t="e">
        <f t="shared" si="24"/>
        <v>#VALUE!</v>
      </c>
    </row>
    <row r="26" spans="2:40" x14ac:dyDescent="0.25">
      <c r="E26" s="25">
        <f t="shared" si="11"/>
        <v>23</v>
      </c>
      <c r="F26" s="26" t="str">
        <f t="shared" si="12"/>
        <v/>
      </c>
      <c r="G26" s="27" t="str">
        <f t="shared" si="13"/>
        <v/>
      </c>
      <c r="H26" s="28" t="str">
        <f t="shared" si="0"/>
        <v/>
      </c>
      <c r="I26" s="3" t="str">
        <f t="shared" si="14"/>
        <v/>
      </c>
      <c r="J26" s="3" t="str">
        <f t="shared" si="1"/>
        <v xml:space="preserve"> </v>
      </c>
      <c r="K26" s="3" t="str">
        <f t="shared" si="15"/>
        <v/>
      </c>
      <c r="L26" s="30" t="str">
        <f t="shared" si="2"/>
        <v/>
      </c>
      <c r="M26" s="29" t="str">
        <f t="shared" si="16"/>
        <v/>
      </c>
      <c r="N26" s="29" t="str">
        <f t="shared" si="17"/>
        <v/>
      </c>
      <c r="O26" s="29" t="str">
        <f t="shared" si="3"/>
        <v/>
      </c>
      <c r="P26" s="29" t="str">
        <f t="shared" si="4"/>
        <v/>
      </c>
      <c r="Q26" s="29" t="str">
        <f t="shared" si="5"/>
        <v/>
      </c>
      <c r="R26" s="23" t="str">
        <f t="shared" si="6"/>
        <v/>
      </c>
      <c r="S26" s="5" t="str">
        <f t="shared" si="18"/>
        <v/>
      </c>
      <c r="T26" s="5" t="str">
        <f t="shared" si="19"/>
        <v/>
      </c>
      <c r="U26" s="5" t="str">
        <f t="shared" si="20"/>
        <v/>
      </c>
      <c r="V26" s="4" t="str">
        <f t="shared" si="7"/>
        <v/>
      </c>
      <c r="W26" s="6" t="str">
        <f t="shared" si="8"/>
        <v/>
      </c>
      <c r="X26" s="22" t="str">
        <f t="shared" si="9"/>
        <v/>
      </c>
      <c r="Y26" s="22" t="str">
        <f t="shared" si="10"/>
        <v/>
      </c>
      <c r="Z26" s="22"/>
      <c r="AA26" s="1">
        <v>23</v>
      </c>
      <c r="AB26" s="1">
        <v>1</v>
      </c>
      <c r="AC26" s="1" t="s">
        <v>38</v>
      </c>
      <c r="AD26" s="2">
        <v>44460</v>
      </c>
      <c r="AE26" s="2">
        <v>43780</v>
      </c>
      <c r="AF26" s="36">
        <v>59.37</v>
      </c>
      <c r="AG26" s="36">
        <v>22.61</v>
      </c>
      <c r="AH26" s="36">
        <v>36.76</v>
      </c>
      <c r="AI26" s="36">
        <v>2.89</v>
      </c>
      <c r="AK26" s="34" t="e">
        <f t="shared" si="21"/>
        <v>#VALUE!</v>
      </c>
      <c r="AL26" s="34" t="e">
        <f t="shared" si="22"/>
        <v>#VALUE!</v>
      </c>
      <c r="AM26" s="34" t="e">
        <f t="shared" si="23"/>
        <v>#VALUE!</v>
      </c>
      <c r="AN26" s="34" t="e">
        <f t="shared" si="24"/>
        <v>#VALUE!</v>
      </c>
    </row>
    <row r="27" spans="2:40" x14ac:dyDescent="0.25">
      <c r="E27" s="25">
        <f t="shared" si="11"/>
        <v>24</v>
      </c>
      <c r="F27" s="26" t="str">
        <f t="shared" si="12"/>
        <v/>
      </c>
      <c r="G27" s="27" t="str">
        <f t="shared" si="13"/>
        <v/>
      </c>
      <c r="H27" s="28" t="str">
        <f t="shared" si="0"/>
        <v/>
      </c>
      <c r="I27" s="3" t="str">
        <f t="shared" si="14"/>
        <v/>
      </c>
      <c r="J27" s="7" t="str">
        <f t="shared" si="1"/>
        <v xml:space="preserve"> </v>
      </c>
      <c r="K27" s="3" t="str">
        <f t="shared" si="15"/>
        <v/>
      </c>
      <c r="L27" s="30" t="str">
        <f t="shared" si="2"/>
        <v/>
      </c>
      <c r="M27" s="29" t="str">
        <f t="shared" si="16"/>
        <v/>
      </c>
      <c r="N27" s="29" t="str">
        <f t="shared" si="17"/>
        <v/>
      </c>
      <c r="O27" s="29" t="str">
        <f t="shared" si="3"/>
        <v/>
      </c>
      <c r="P27" s="29" t="str">
        <f t="shared" si="4"/>
        <v/>
      </c>
      <c r="Q27" s="29" t="str">
        <f t="shared" si="5"/>
        <v/>
      </c>
      <c r="R27" s="23" t="str">
        <f t="shared" si="6"/>
        <v/>
      </c>
      <c r="S27" s="5" t="str">
        <f t="shared" si="18"/>
        <v/>
      </c>
      <c r="T27" s="5" t="str">
        <f t="shared" si="19"/>
        <v/>
      </c>
      <c r="U27" s="5" t="str">
        <f t="shared" si="20"/>
        <v/>
      </c>
      <c r="V27" s="4" t="str">
        <f t="shared" si="7"/>
        <v/>
      </c>
      <c r="W27" s="6" t="str">
        <f t="shared" si="8"/>
        <v/>
      </c>
      <c r="X27" s="22" t="str">
        <f t="shared" si="9"/>
        <v/>
      </c>
      <c r="Y27" s="22" t="str">
        <f t="shared" si="10"/>
        <v/>
      </c>
      <c r="Z27" s="22"/>
      <c r="AA27" s="1">
        <v>24</v>
      </c>
      <c r="AB27" s="1">
        <v>1</v>
      </c>
      <c r="AC27" s="1" t="s">
        <v>38</v>
      </c>
      <c r="AD27" s="2">
        <v>44490</v>
      </c>
      <c r="AE27" s="2">
        <v>43780</v>
      </c>
      <c r="AF27" s="36">
        <v>59.37</v>
      </c>
      <c r="AG27" s="36">
        <v>24.36</v>
      </c>
      <c r="AH27" s="36">
        <v>35.01</v>
      </c>
      <c r="AI27" s="36">
        <v>2.84</v>
      </c>
      <c r="AK27" s="34" t="e">
        <f t="shared" si="21"/>
        <v>#VALUE!</v>
      </c>
      <c r="AL27" s="34" t="e">
        <f t="shared" si="22"/>
        <v>#VALUE!</v>
      </c>
      <c r="AM27" s="34" t="e">
        <f t="shared" si="23"/>
        <v>#VALUE!</v>
      </c>
      <c r="AN27" s="34" t="e">
        <f t="shared" si="24"/>
        <v>#VALUE!</v>
      </c>
    </row>
    <row r="28" spans="2:40" x14ac:dyDescent="0.25">
      <c r="E28" s="25">
        <f t="shared" si="11"/>
        <v>25</v>
      </c>
      <c r="F28" s="26" t="str">
        <f t="shared" si="12"/>
        <v/>
      </c>
      <c r="G28" s="27" t="str">
        <f t="shared" si="13"/>
        <v/>
      </c>
      <c r="H28" s="28" t="str">
        <f t="shared" si="0"/>
        <v/>
      </c>
      <c r="I28" s="3" t="str">
        <f t="shared" si="14"/>
        <v/>
      </c>
      <c r="J28" s="3" t="str">
        <f t="shared" si="1"/>
        <v xml:space="preserve"> </v>
      </c>
      <c r="K28" s="3" t="str">
        <f t="shared" si="15"/>
        <v/>
      </c>
      <c r="L28" s="30" t="str">
        <f t="shared" si="2"/>
        <v/>
      </c>
      <c r="M28" s="29" t="str">
        <f t="shared" si="16"/>
        <v/>
      </c>
      <c r="N28" s="29" t="str">
        <f t="shared" si="17"/>
        <v/>
      </c>
      <c r="O28" s="29" t="str">
        <f t="shared" si="3"/>
        <v/>
      </c>
      <c r="P28" s="29" t="str">
        <f t="shared" si="4"/>
        <v/>
      </c>
      <c r="Q28" s="29" t="str">
        <f t="shared" si="5"/>
        <v/>
      </c>
      <c r="R28" s="23" t="str">
        <f t="shared" si="6"/>
        <v/>
      </c>
      <c r="S28" s="5" t="str">
        <f t="shared" si="18"/>
        <v/>
      </c>
      <c r="T28" s="5" t="str">
        <f t="shared" si="19"/>
        <v/>
      </c>
      <c r="U28" s="5" t="str">
        <f t="shared" si="20"/>
        <v/>
      </c>
      <c r="V28" s="4" t="str">
        <f t="shared" si="7"/>
        <v/>
      </c>
      <c r="W28" s="6" t="str">
        <f t="shared" si="8"/>
        <v/>
      </c>
      <c r="X28" s="22" t="str">
        <f t="shared" si="9"/>
        <v/>
      </c>
      <c r="Y28" s="22" t="str">
        <f t="shared" si="10"/>
        <v/>
      </c>
      <c r="Z28" s="22"/>
      <c r="AA28" s="1">
        <v>25</v>
      </c>
      <c r="AB28" s="1">
        <v>1</v>
      </c>
      <c r="AC28" s="1" t="s">
        <v>38</v>
      </c>
      <c r="AD28" s="2">
        <v>44521</v>
      </c>
      <c r="AE28" s="2">
        <v>43780</v>
      </c>
      <c r="AF28" s="36">
        <v>59.37</v>
      </c>
      <c r="AG28" s="36">
        <v>23.81</v>
      </c>
      <c r="AH28" s="36">
        <v>35.56</v>
      </c>
      <c r="AI28" s="36">
        <v>2.8</v>
      </c>
      <c r="AK28" s="34" t="e">
        <f t="shared" si="21"/>
        <v>#VALUE!</v>
      </c>
      <c r="AL28" s="34" t="e">
        <f t="shared" si="22"/>
        <v>#VALUE!</v>
      </c>
      <c r="AM28" s="34" t="e">
        <f t="shared" si="23"/>
        <v>#VALUE!</v>
      </c>
      <c r="AN28" s="34" t="e">
        <f t="shared" si="24"/>
        <v>#VALUE!</v>
      </c>
    </row>
    <row r="29" spans="2:40" x14ac:dyDescent="0.25">
      <c r="E29" s="25">
        <f t="shared" si="11"/>
        <v>26</v>
      </c>
      <c r="F29" s="26" t="str">
        <f t="shared" si="12"/>
        <v/>
      </c>
      <c r="G29" s="27" t="str">
        <f t="shared" si="13"/>
        <v/>
      </c>
      <c r="H29" s="28" t="str">
        <f t="shared" si="0"/>
        <v/>
      </c>
      <c r="I29" s="3" t="str">
        <f t="shared" si="14"/>
        <v/>
      </c>
      <c r="J29" s="3" t="str">
        <f t="shared" si="1"/>
        <v xml:space="preserve"> </v>
      </c>
      <c r="K29" s="3" t="str">
        <f t="shared" si="15"/>
        <v/>
      </c>
      <c r="L29" s="30" t="str">
        <f t="shared" si="2"/>
        <v/>
      </c>
      <c r="M29" s="29" t="str">
        <f t="shared" si="16"/>
        <v/>
      </c>
      <c r="N29" s="29" t="str">
        <f t="shared" si="17"/>
        <v/>
      </c>
      <c r="O29" s="29" t="str">
        <f t="shared" si="3"/>
        <v/>
      </c>
      <c r="P29" s="29" t="str">
        <f t="shared" si="4"/>
        <v/>
      </c>
      <c r="Q29" s="29" t="str">
        <f t="shared" si="5"/>
        <v/>
      </c>
      <c r="R29" s="23" t="str">
        <f t="shared" si="6"/>
        <v/>
      </c>
      <c r="S29" s="5" t="str">
        <f t="shared" si="18"/>
        <v/>
      </c>
      <c r="T29" s="5" t="str">
        <f t="shared" si="19"/>
        <v/>
      </c>
      <c r="U29" s="5" t="str">
        <f t="shared" si="20"/>
        <v/>
      </c>
      <c r="V29" s="4" t="str">
        <f t="shared" si="7"/>
        <v/>
      </c>
      <c r="W29" s="6" t="str">
        <f t="shared" si="8"/>
        <v/>
      </c>
      <c r="X29" s="22" t="str">
        <f t="shared" si="9"/>
        <v/>
      </c>
      <c r="Y29" s="22" t="str">
        <f t="shared" si="10"/>
        <v/>
      </c>
      <c r="Z29" s="22"/>
      <c r="AA29" s="1">
        <v>26</v>
      </c>
      <c r="AB29" s="1">
        <v>1</v>
      </c>
      <c r="AC29" s="1" t="s">
        <v>38</v>
      </c>
      <c r="AD29" s="2">
        <v>44551</v>
      </c>
      <c r="AE29" s="2">
        <v>43780</v>
      </c>
      <c r="AF29" s="36">
        <v>59.37</v>
      </c>
      <c r="AG29" s="36">
        <v>25.54</v>
      </c>
      <c r="AH29" s="36">
        <v>33.83</v>
      </c>
      <c r="AI29" s="36">
        <v>2.75</v>
      </c>
      <c r="AK29" s="34" t="e">
        <f t="shared" si="21"/>
        <v>#VALUE!</v>
      </c>
      <c r="AL29" s="34" t="e">
        <f t="shared" si="22"/>
        <v>#VALUE!</v>
      </c>
      <c r="AM29" s="34" t="e">
        <f t="shared" si="23"/>
        <v>#VALUE!</v>
      </c>
      <c r="AN29" s="34" t="e">
        <f t="shared" si="24"/>
        <v>#VALUE!</v>
      </c>
    </row>
    <row r="30" spans="2:40" x14ac:dyDescent="0.25">
      <c r="E30" s="25">
        <f t="shared" si="11"/>
        <v>27</v>
      </c>
      <c r="F30" s="26" t="str">
        <f t="shared" si="12"/>
        <v/>
      </c>
      <c r="G30" s="27" t="str">
        <f t="shared" si="13"/>
        <v/>
      </c>
      <c r="H30" s="28" t="str">
        <f t="shared" si="0"/>
        <v/>
      </c>
      <c r="I30" s="3" t="str">
        <f t="shared" si="14"/>
        <v/>
      </c>
      <c r="J30" s="3" t="str">
        <f t="shared" si="1"/>
        <v xml:space="preserve"> </v>
      </c>
      <c r="K30" s="3" t="str">
        <f t="shared" si="15"/>
        <v/>
      </c>
      <c r="L30" s="30" t="str">
        <f t="shared" si="2"/>
        <v/>
      </c>
      <c r="M30" s="29" t="str">
        <f t="shared" si="16"/>
        <v/>
      </c>
      <c r="N30" s="29" t="str">
        <f t="shared" si="17"/>
        <v/>
      </c>
      <c r="O30" s="29" t="str">
        <f t="shared" si="3"/>
        <v/>
      </c>
      <c r="P30" s="29" t="str">
        <f t="shared" si="4"/>
        <v/>
      </c>
      <c r="Q30" s="29" t="str">
        <f t="shared" si="5"/>
        <v/>
      </c>
      <c r="R30" s="23" t="str">
        <f t="shared" si="6"/>
        <v/>
      </c>
      <c r="S30" s="5" t="str">
        <f t="shared" si="18"/>
        <v/>
      </c>
      <c r="T30" s="5" t="str">
        <f t="shared" si="19"/>
        <v/>
      </c>
      <c r="U30" s="5" t="str">
        <f t="shared" si="20"/>
        <v/>
      </c>
      <c r="V30" s="4" t="str">
        <f t="shared" si="7"/>
        <v/>
      </c>
      <c r="W30" s="6" t="str">
        <f t="shared" si="8"/>
        <v/>
      </c>
      <c r="X30" s="22" t="str">
        <f t="shared" si="9"/>
        <v/>
      </c>
      <c r="Y30" s="22" t="str">
        <f t="shared" si="10"/>
        <v/>
      </c>
      <c r="Z30" s="22"/>
      <c r="AA30" s="1">
        <v>27</v>
      </c>
      <c r="AB30" s="1">
        <v>1</v>
      </c>
      <c r="AC30" s="1" t="s">
        <v>38</v>
      </c>
      <c r="AD30" s="2">
        <v>44582</v>
      </c>
      <c r="AE30" s="2">
        <v>43780</v>
      </c>
      <c r="AF30" s="36">
        <v>59.37</v>
      </c>
      <c r="AG30" s="36">
        <v>25.06</v>
      </c>
      <c r="AH30" s="36">
        <v>34.31</v>
      </c>
      <c r="AI30" s="36">
        <v>2.7</v>
      </c>
      <c r="AK30" s="34" t="e">
        <f t="shared" si="21"/>
        <v>#VALUE!</v>
      </c>
      <c r="AL30" s="34" t="e">
        <f t="shared" si="22"/>
        <v>#VALUE!</v>
      </c>
      <c r="AM30" s="34" t="e">
        <f t="shared" si="23"/>
        <v>#VALUE!</v>
      </c>
      <c r="AN30" s="34" t="e">
        <f t="shared" si="24"/>
        <v>#VALUE!</v>
      </c>
    </row>
    <row r="31" spans="2:40" x14ac:dyDescent="0.25">
      <c r="E31" s="25">
        <f t="shared" si="11"/>
        <v>28</v>
      </c>
      <c r="F31" s="26" t="str">
        <f t="shared" si="12"/>
        <v/>
      </c>
      <c r="G31" s="27" t="str">
        <f t="shared" si="13"/>
        <v/>
      </c>
      <c r="H31" s="28" t="str">
        <f t="shared" si="0"/>
        <v/>
      </c>
      <c r="I31" s="3" t="str">
        <f t="shared" si="14"/>
        <v/>
      </c>
      <c r="J31" s="3" t="str">
        <f t="shared" si="1"/>
        <v xml:space="preserve"> </v>
      </c>
      <c r="K31" s="3" t="str">
        <f t="shared" si="15"/>
        <v/>
      </c>
      <c r="L31" s="30" t="str">
        <f t="shared" si="2"/>
        <v/>
      </c>
      <c r="M31" s="29" t="str">
        <f t="shared" si="16"/>
        <v/>
      </c>
      <c r="N31" s="29" t="str">
        <f t="shared" si="17"/>
        <v/>
      </c>
      <c r="O31" s="29" t="str">
        <f t="shared" si="3"/>
        <v/>
      </c>
      <c r="P31" s="29" t="str">
        <f t="shared" si="4"/>
        <v/>
      </c>
      <c r="Q31" s="29" t="str">
        <f t="shared" si="5"/>
        <v/>
      </c>
      <c r="R31" s="23" t="str">
        <f t="shared" si="6"/>
        <v/>
      </c>
      <c r="S31" s="5" t="str">
        <f t="shared" si="18"/>
        <v/>
      </c>
      <c r="T31" s="5" t="str">
        <f t="shared" si="19"/>
        <v/>
      </c>
      <c r="U31" s="5" t="str">
        <f t="shared" si="20"/>
        <v/>
      </c>
      <c r="V31" s="4" t="str">
        <f t="shared" si="7"/>
        <v/>
      </c>
      <c r="W31" s="6" t="str">
        <f t="shared" si="8"/>
        <v/>
      </c>
      <c r="X31" s="22" t="str">
        <f t="shared" si="9"/>
        <v/>
      </c>
      <c r="Y31" s="22" t="str">
        <f t="shared" si="10"/>
        <v/>
      </c>
      <c r="Z31" s="22"/>
      <c r="AA31" s="1">
        <v>28</v>
      </c>
      <c r="AB31" s="1">
        <v>1</v>
      </c>
      <c r="AC31" s="1" t="s">
        <v>38</v>
      </c>
      <c r="AD31" s="2">
        <v>44613</v>
      </c>
      <c r="AE31" s="2">
        <v>43780</v>
      </c>
      <c r="AF31" s="36">
        <v>59.37</v>
      </c>
      <c r="AG31" s="36">
        <v>25.7</v>
      </c>
      <c r="AH31" s="36">
        <v>33.67</v>
      </c>
      <c r="AI31" s="36">
        <v>2.65</v>
      </c>
      <c r="AK31" s="34" t="e">
        <f t="shared" si="21"/>
        <v>#VALUE!</v>
      </c>
      <c r="AL31" s="34" t="e">
        <f t="shared" si="22"/>
        <v>#VALUE!</v>
      </c>
      <c r="AM31" s="34" t="e">
        <f t="shared" si="23"/>
        <v>#VALUE!</v>
      </c>
      <c r="AN31" s="34" t="e">
        <f t="shared" si="24"/>
        <v>#VALUE!</v>
      </c>
    </row>
    <row r="32" spans="2:40" x14ac:dyDescent="0.25">
      <c r="E32" s="25">
        <f t="shared" si="11"/>
        <v>29</v>
      </c>
      <c r="F32" s="26" t="str">
        <f t="shared" si="12"/>
        <v/>
      </c>
      <c r="G32" s="27" t="str">
        <f t="shared" si="13"/>
        <v/>
      </c>
      <c r="H32" s="28" t="str">
        <f t="shared" si="0"/>
        <v/>
      </c>
      <c r="I32" s="3" t="str">
        <f t="shared" si="14"/>
        <v/>
      </c>
      <c r="J32" s="3" t="str">
        <f t="shared" si="1"/>
        <v xml:space="preserve"> </v>
      </c>
      <c r="K32" s="3" t="str">
        <f t="shared" si="15"/>
        <v/>
      </c>
      <c r="L32" s="30" t="str">
        <f t="shared" si="2"/>
        <v/>
      </c>
      <c r="M32" s="29" t="str">
        <f t="shared" si="16"/>
        <v/>
      </c>
      <c r="N32" s="29" t="str">
        <f t="shared" si="17"/>
        <v/>
      </c>
      <c r="O32" s="29" t="str">
        <f t="shared" si="3"/>
        <v/>
      </c>
      <c r="P32" s="29" t="str">
        <f t="shared" si="4"/>
        <v/>
      </c>
      <c r="Q32" s="29" t="str">
        <f t="shared" si="5"/>
        <v/>
      </c>
      <c r="R32" s="23" t="str">
        <f t="shared" si="6"/>
        <v/>
      </c>
      <c r="S32" s="5" t="str">
        <f t="shared" si="18"/>
        <v/>
      </c>
      <c r="T32" s="5" t="str">
        <f t="shared" si="19"/>
        <v/>
      </c>
      <c r="U32" s="5" t="str">
        <f t="shared" si="20"/>
        <v/>
      </c>
      <c r="V32" s="4" t="str">
        <f t="shared" si="7"/>
        <v/>
      </c>
      <c r="W32" s="6" t="str">
        <f t="shared" si="8"/>
        <v/>
      </c>
      <c r="X32" s="22" t="str">
        <f t="shared" si="9"/>
        <v/>
      </c>
      <c r="Y32" s="22" t="str">
        <f t="shared" si="10"/>
        <v/>
      </c>
      <c r="Z32" s="22"/>
      <c r="AA32" s="1">
        <v>29</v>
      </c>
      <c r="AB32" s="1">
        <v>1</v>
      </c>
      <c r="AC32" s="1" t="s">
        <v>38</v>
      </c>
      <c r="AD32" s="2">
        <v>44641</v>
      </c>
      <c r="AE32" s="2">
        <v>43780</v>
      </c>
      <c r="AF32" s="36">
        <v>59.37</v>
      </c>
      <c r="AG32" s="36">
        <v>29.55</v>
      </c>
      <c r="AH32" s="36">
        <v>29.82</v>
      </c>
      <c r="AI32" s="36">
        <v>2.6</v>
      </c>
      <c r="AK32" s="34" t="e">
        <f t="shared" si="21"/>
        <v>#VALUE!</v>
      </c>
      <c r="AL32" s="34" t="e">
        <f t="shared" si="22"/>
        <v>#VALUE!</v>
      </c>
      <c r="AM32" s="34" t="e">
        <f t="shared" si="23"/>
        <v>#VALUE!</v>
      </c>
      <c r="AN32" s="34" t="e">
        <f t="shared" si="24"/>
        <v>#VALUE!</v>
      </c>
    </row>
    <row r="33" spans="5:40" x14ac:dyDescent="0.25">
      <c r="E33" s="25">
        <f t="shared" si="11"/>
        <v>30</v>
      </c>
      <c r="F33" s="26" t="str">
        <f t="shared" si="12"/>
        <v/>
      </c>
      <c r="G33" s="27" t="str">
        <f t="shared" si="13"/>
        <v/>
      </c>
      <c r="H33" s="28" t="str">
        <f t="shared" si="0"/>
        <v/>
      </c>
      <c r="I33" s="3" t="str">
        <f t="shared" si="14"/>
        <v/>
      </c>
      <c r="J33" s="3" t="str">
        <f t="shared" si="1"/>
        <v xml:space="preserve"> </v>
      </c>
      <c r="K33" s="3" t="str">
        <f t="shared" si="15"/>
        <v/>
      </c>
      <c r="L33" s="30" t="str">
        <f t="shared" si="2"/>
        <v/>
      </c>
      <c r="M33" s="29" t="str">
        <f t="shared" si="16"/>
        <v/>
      </c>
      <c r="N33" s="29" t="str">
        <f t="shared" si="17"/>
        <v/>
      </c>
      <c r="O33" s="29" t="str">
        <f t="shared" si="3"/>
        <v/>
      </c>
      <c r="P33" s="29" t="str">
        <f t="shared" si="4"/>
        <v/>
      </c>
      <c r="Q33" s="29" t="str">
        <f t="shared" si="5"/>
        <v/>
      </c>
      <c r="R33" s="23" t="str">
        <f t="shared" si="6"/>
        <v/>
      </c>
      <c r="S33" s="5" t="str">
        <f t="shared" si="18"/>
        <v/>
      </c>
      <c r="T33" s="5" t="str">
        <f t="shared" si="19"/>
        <v/>
      </c>
      <c r="U33" s="5" t="str">
        <f t="shared" si="20"/>
        <v/>
      </c>
      <c r="V33" s="4" t="str">
        <f t="shared" si="7"/>
        <v/>
      </c>
      <c r="W33" s="6" t="str">
        <f t="shared" si="8"/>
        <v/>
      </c>
      <c r="X33" s="22" t="str">
        <f t="shared" si="9"/>
        <v/>
      </c>
      <c r="Y33" s="22" t="str">
        <f t="shared" si="10"/>
        <v/>
      </c>
      <c r="Z33" s="22"/>
      <c r="AA33" s="1">
        <v>30</v>
      </c>
      <c r="AB33" s="1">
        <v>1</v>
      </c>
      <c r="AC33" s="1" t="s">
        <v>38</v>
      </c>
      <c r="AD33" s="2">
        <v>44672</v>
      </c>
      <c r="AE33" s="2">
        <v>43780</v>
      </c>
      <c r="AF33" s="36">
        <v>59.37</v>
      </c>
      <c r="AG33" s="36">
        <v>27.1</v>
      </c>
      <c r="AH33" s="36">
        <v>32.270000000000003</v>
      </c>
      <c r="AI33" s="36">
        <v>2.54</v>
      </c>
      <c r="AK33" s="34" t="e">
        <f t="shared" si="21"/>
        <v>#VALUE!</v>
      </c>
      <c r="AL33" s="34" t="e">
        <f t="shared" si="22"/>
        <v>#VALUE!</v>
      </c>
      <c r="AM33" s="34" t="e">
        <f t="shared" si="23"/>
        <v>#VALUE!</v>
      </c>
      <c r="AN33" s="34" t="e">
        <f t="shared" si="24"/>
        <v>#VALUE!</v>
      </c>
    </row>
    <row r="34" spans="5:40" x14ac:dyDescent="0.25">
      <c r="E34" s="25">
        <f t="shared" si="11"/>
        <v>31</v>
      </c>
      <c r="F34" s="26" t="str">
        <f t="shared" si="12"/>
        <v/>
      </c>
      <c r="G34" s="27" t="str">
        <f t="shared" si="13"/>
        <v/>
      </c>
      <c r="H34" s="28" t="str">
        <f t="shared" si="0"/>
        <v/>
      </c>
      <c r="I34" s="3" t="str">
        <f t="shared" si="14"/>
        <v/>
      </c>
      <c r="J34" s="3" t="str">
        <f t="shared" si="1"/>
        <v xml:space="preserve"> </v>
      </c>
      <c r="K34" s="3" t="str">
        <f t="shared" si="15"/>
        <v/>
      </c>
      <c r="L34" s="30" t="str">
        <f t="shared" si="2"/>
        <v/>
      </c>
      <c r="M34" s="29" t="str">
        <f t="shared" si="16"/>
        <v/>
      </c>
      <c r="N34" s="29" t="str">
        <f t="shared" si="17"/>
        <v/>
      </c>
      <c r="O34" s="29" t="str">
        <f t="shared" si="3"/>
        <v/>
      </c>
      <c r="P34" s="29" t="str">
        <f t="shared" si="4"/>
        <v/>
      </c>
      <c r="Q34" s="29" t="str">
        <f t="shared" si="5"/>
        <v/>
      </c>
      <c r="R34" s="23" t="str">
        <f t="shared" si="6"/>
        <v/>
      </c>
      <c r="S34" s="5" t="str">
        <f t="shared" si="18"/>
        <v/>
      </c>
      <c r="T34" s="5" t="str">
        <f t="shared" si="19"/>
        <v/>
      </c>
      <c r="U34" s="5" t="str">
        <f t="shared" si="20"/>
        <v/>
      </c>
      <c r="V34" s="4" t="str">
        <f t="shared" si="7"/>
        <v/>
      </c>
      <c r="W34" s="6" t="str">
        <f t="shared" si="8"/>
        <v/>
      </c>
      <c r="X34" s="22" t="str">
        <f t="shared" si="9"/>
        <v/>
      </c>
      <c r="Y34" s="22" t="str">
        <f t="shared" si="10"/>
        <v/>
      </c>
      <c r="Z34" s="22"/>
      <c r="AA34" s="1">
        <v>31</v>
      </c>
      <c r="AB34" s="1">
        <v>1</v>
      </c>
      <c r="AC34" s="1" t="s">
        <v>38</v>
      </c>
      <c r="AD34" s="2">
        <v>44702</v>
      </c>
      <c r="AE34" s="2">
        <v>43780</v>
      </c>
      <c r="AF34" s="36">
        <v>59.37</v>
      </c>
      <c r="AG34" s="36">
        <v>28.81</v>
      </c>
      <c r="AH34" s="36">
        <v>30.56</v>
      </c>
      <c r="AI34" s="36">
        <v>2.48</v>
      </c>
      <c r="AK34" s="34" t="e">
        <f t="shared" si="21"/>
        <v>#VALUE!</v>
      </c>
      <c r="AL34" s="34" t="e">
        <f t="shared" si="22"/>
        <v>#VALUE!</v>
      </c>
      <c r="AM34" s="34" t="e">
        <f t="shared" si="23"/>
        <v>#VALUE!</v>
      </c>
      <c r="AN34" s="34" t="e">
        <f t="shared" si="24"/>
        <v>#VALUE!</v>
      </c>
    </row>
    <row r="35" spans="5:40" x14ac:dyDescent="0.25">
      <c r="E35" s="25">
        <f t="shared" si="11"/>
        <v>32</v>
      </c>
      <c r="F35" s="26" t="str">
        <f t="shared" si="12"/>
        <v/>
      </c>
      <c r="G35" s="27" t="str">
        <f t="shared" si="13"/>
        <v/>
      </c>
      <c r="H35" s="28" t="str">
        <f t="shared" si="0"/>
        <v/>
      </c>
      <c r="I35" s="3" t="str">
        <f t="shared" si="14"/>
        <v/>
      </c>
      <c r="J35" s="3" t="str">
        <f t="shared" si="1"/>
        <v xml:space="preserve"> </v>
      </c>
      <c r="K35" s="3" t="str">
        <f t="shared" si="15"/>
        <v/>
      </c>
      <c r="L35" s="30" t="str">
        <f t="shared" si="2"/>
        <v/>
      </c>
      <c r="M35" s="29" t="str">
        <f t="shared" si="16"/>
        <v/>
      </c>
      <c r="N35" s="29" t="str">
        <f t="shared" si="17"/>
        <v/>
      </c>
      <c r="O35" s="29" t="str">
        <f t="shared" si="3"/>
        <v/>
      </c>
      <c r="P35" s="29" t="str">
        <f t="shared" si="4"/>
        <v/>
      </c>
      <c r="Q35" s="29" t="str">
        <f t="shared" si="5"/>
        <v/>
      </c>
      <c r="R35" s="23" t="str">
        <f t="shared" si="6"/>
        <v/>
      </c>
      <c r="S35" s="5" t="str">
        <f t="shared" si="18"/>
        <v/>
      </c>
      <c r="T35" s="5" t="str">
        <f t="shared" si="19"/>
        <v/>
      </c>
      <c r="U35" s="5" t="str">
        <f t="shared" si="20"/>
        <v/>
      </c>
      <c r="V35" s="4" t="str">
        <f t="shared" si="7"/>
        <v/>
      </c>
      <c r="W35" s="6" t="str">
        <f t="shared" si="8"/>
        <v/>
      </c>
      <c r="X35" s="22" t="str">
        <f t="shared" si="9"/>
        <v/>
      </c>
      <c r="Y35" s="22" t="str">
        <f t="shared" si="10"/>
        <v/>
      </c>
      <c r="Z35" s="22"/>
      <c r="AA35" s="1">
        <v>32</v>
      </c>
      <c r="AB35" s="1">
        <v>1</v>
      </c>
      <c r="AC35" s="1" t="s">
        <v>38</v>
      </c>
      <c r="AD35" s="2">
        <v>44733</v>
      </c>
      <c r="AE35" s="2">
        <v>43780</v>
      </c>
      <c r="AF35" s="36">
        <v>59.37</v>
      </c>
      <c r="AG35" s="36">
        <v>28.52</v>
      </c>
      <c r="AH35" s="36">
        <v>30.85</v>
      </c>
      <c r="AI35" s="36">
        <v>2.4300000000000002</v>
      </c>
      <c r="AK35" s="34" t="e">
        <f t="shared" si="21"/>
        <v>#VALUE!</v>
      </c>
      <c r="AL35" s="34" t="e">
        <f t="shared" si="22"/>
        <v>#VALUE!</v>
      </c>
      <c r="AM35" s="34" t="e">
        <f t="shared" si="23"/>
        <v>#VALUE!</v>
      </c>
      <c r="AN35" s="34" t="e">
        <f t="shared" si="24"/>
        <v>#VALUE!</v>
      </c>
    </row>
    <row r="36" spans="5:40" x14ac:dyDescent="0.25">
      <c r="E36" s="25">
        <f t="shared" si="11"/>
        <v>33</v>
      </c>
      <c r="F36" s="26" t="str">
        <f t="shared" si="12"/>
        <v/>
      </c>
      <c r="G36" s="27" t="str">
        <f t="shared" si="13"/>
        <v/>
      </c>
      <c r="H36" s="28" t="str">
        <f t="shared" si="0"/>
        <v/>
      </c>
      <c r="I36" s="3" t="str">
        <f t="shared" si="14"/>
        <v/>
      </c>
      <c r="J36" s="3" t="str">
        <f t="shared" si="1"/>
        <v xml:space="preserve"> </v>
      </c>
      <c r="K36" s="3" t="str">
        <f t="shared" si="15"/>
        <v/>
      </c>
      <c r="L36" s="30" t="str">
        <f t="shared" si="2"/>
        <v/>
      </c>
      <c r="M36" s="29" t="str">
        <f t="shared" si="16"/>
        <v/>
      </c>
      <c r="N36" s="29" t="str">
        <f t="shared" si="17"/>
        <v/>
      </c>
      <c r="O36" s="29" t="str">
        <f t="shared" si="3"/>
        <v/>
      </c>
      <c r="P36" s="29" t="str">
        <f t="shared" si="4"/>
        <v/>
      </c>
      <c r="Q36" s="29" t="str">
        <f t="shared" si="5"/>
        <v/>
      </c>
      <c r="R36" s="23" t="str">
        <f t="shared" si="6"/>
        <v/>
      </c>
      <c r="S36" s="5" t="str">
        <f t="shared" si="18"/>
        <v/>
      </c>
      <c r="T36" s="5" t="str">
        <f t="shared" si="19"/>
        <v/>
      </c>
      <c r="U36" s="5" t="str">
        <f t="shared" si="20"/>
        <v/>
      </c>
      <c r="V36" s="4" t="str">
        <f t="shared" ref="V36:V69" si="25">IFERROR(IF(E36=" "," ",IF($E36&lt;=$C$16,SUM(T36-S36)*$C$14/IF(DAY(DATE(MID(T36,7,4),3,0))=29,366,365),SUM(T36-S36)*$C$15/IF(DAY(DATE(MID(T36,7,4),3,0))=29,366,365))),"")</f>
        <v/>
      </c>
      <c r="W36" s="6" t="str">
        <f t="shared" si="8"/>
        <v/>
      </c>
      <c r="X36" s="22" t="str">
        <f t="shared" si="9"/>
        <v/>
      </c>
      <c r="Y36" s="22" t="str">
        <f t="shared" si="10"/>
        <v/>
      </c>
      <c r="Z36" s="22"/>
      <c r="AA36" s="1">
        <v>33</v>
      </c>
      <c r="AB36" s="1">
        <v>1</v>
      </c>
      <c r="AC36" s="1" t="s">
        <v>38</v>
      </c>
      <c r="AD36" s="2">
        <v>44763</v>
      </c>
      <c r="AE36" s="2">
        <v>43780</v>
      </c>
      <c r="AF36" s="36">
        <v>59.37</v>
      </c>
      <c r="AG36" s="36">
        <v>30.22</v>
      </c>
      <c r="AH36" s="36">
        <v>29.15</v>
      </c>
      <c r="AI36" s="36">
        <v>2.37</v>
      </c>
      <c r="AK36" s="34" t="e">
        <f t="shared" si="21"/>
        <v>#VALUE!</v>
      </c>
      <c r="AL36" s="34" t="e">
        <f t="shared" si="22"/>
        <v>#VALUE!</v>
      </c>
      <c r="AM36" s="34" t="e">
        <f t="shared" si="23"/>
        <v>#VALUE!</v>
      </c>
      <c r="AN36" s="34" t="e">
        <f t="shared" si="24"/>
        <v>#VALUE!</v>
      </c>
    </row>
    <row r="37" spans="5:40" x14ac:dyDescent="0.25">
      <c r="E37" s="25">
        <f t="shared" si="11"/>
        <v>34</v>
      </c>
      <c r="F37" s="26" t="str">
        <f t="shared" si="12"/>
        <v/>
      </c>
      <c r="G37" s="27" t="str">
        <f t="shared" si="13"/>
        <v/>
      </c>
      <c r="H37" s="28" t="str">
        <f t="shared" si="0"/>
        <v/>
      </c>
      <c r="I37" s="3" t="str">
        <f t="shared" si="14"/>
        <v/>
      </c>
      <c r="J37" s="3" t="str">
        <f t="shared" si="1"/>
        <v xml:space="preserve"> </v>
      </c>
      <c r="K37" s="3" t="str">
        <f t="shared" si="15"/>
        <v/>
      </c>
      <c r="L37" s="30" t="str">
        <f t="shared" si="2"/>
        <v/>
      </c>
      <c r="M37" s="29" t="str">
        <f t="shared" si="16"/>
        <v/>
      </c>
      <c r="N37" s="29" t="str">
        <f t="shared" si="17"/>
        <v/>
      </c>
      <c r="O37" s="29" t="str">
        <f t="shared" si="3"/>
        <v/>
      </c>
      <c r="P37" s="29" t="str">
        <f t="shared" si="4"/>
        <v/>
      </c>
      <c r="Q37" s="29" t="str">
        <f t="shared" si="5"/>
        <v/>
      </c>
      <c r="R37" s="23" t="str">
        <f t="shared" si="6"/>
        <v/>
      </c>
      <c r="S37" s="5" t="str">
        <f t="shared" si="18"/>
        <v/>
      </c>
      <c r="T37" s="5" t="str">
        <f t="shared" si="19"/>
        <v/>
      </c>
      <c r="U37" s="5" t="str">
        <f t="shared" si="20"/>
        <v/>
      </c>
      <c r="V37" s="4" t="str">
        <f t="shared" si="25"/>
        <v/>
      </c>
      <c r="W37" s="6" t="str">
        <f t="shared" si="8"/>
        <v/>
      </c>
      <c r="X37" s="22" t="str">
        <f t="shared" si="9"/>
        <v/>
      </c>
      <c r="Y37" s="22" t="str">
        <f t="shared" si="10"/>
        <v/>
      </c>
      <c r="Z37" s="22"/>
      <c r="AA37" s="1">
        <v>34</v>
      </c>
      <c r="AB37" s="1">
        <v>1</v>
      </c>
      <c r="AC37" s="1" t="s">
        <v>38</v>
      </c>
      <c r="AD37" s="2">
        <v>44794</v>
      </c>
      <c r="AE37" s="2">
        <v>43780</v>
      </c>
      <c r="AF37" s="36">
        <v>59.37</v>
      </c>
      <c r="AG37" s="36">
        <v>30.01</v>
      </c>
      <c r="AH37" s="36">
        <v>29.36</v>
      </c>
      <c r="AI37" s="36">
        <v>2.31</v>
      </c>
      <c r="AK37" s="34" t="e">
        <f t="shared" si="21"/>
        <v>#VALUE!</v>
      </c>
      <c r="AL37" s="34" t="e">
        <f t="shared" si="22"/>
        <v>#VALUE!</v>
      </c>
      <c r="AM37" s="34" t="e">
        <f t="shared" si="23"/>
        <v>#VALUE!</v>
      </c>
      <c r="AN37" s="34" t="e">
        <f t="shared" si="24"/>
        <v>#VALUE!</v>
      </c>
    </row>
    <row r="38" spans="5:40" x14ac:dyDescent="0.25">
      <c r="E38" s="25">
        <f t="shared" si="11"/>
        <v>35</v>
      </c>
      <c r="F38" s="26" t="str">
        <f t="shared" si="12"/>
        <v/>
      </c>
      <c r="G38" s="27" t="str">
        <f t="shared" si="13"/>
        <v/>
      </c>
      <c r="H38" s="28" t="str">
        <f t="shared" si="0"/>
        <v/>
      </c>
      <c r="I38" s="3" t="str">
        <f t="shared" si="14"/>
        <v/>
      </c>
      <c r="J38" s="3" t="str">
        <f t="shared" si="1"/>
        <v xml:space="preserve"> </v>
      </c>
      <c r="K38" s="3" t="str">
        <f t="shared" si="15"/>
        <v/>
      </c>
      <c r="L38" s="30" t="str">
        <f t="shared" si="2"/>
        <v/>
      </c>
      <c r="M38" s="29" t="str">
        <f t="shared" si="16"/>
        <v/>
      </c>
      <c r="N38" s="29" t="str">
        <f t="shared" si="17"/>
        <v/>
      </c>
      <c r="O38" s="29" t="str">
        <f t="shared" si="3"/>
        <v/>
      </c>
      <c r="P38" s="29" t="str">
        <f t="shared" si="4"/>
        <v/>
      </c>
      <c r="Q38" s="29" t="str">
        <f t="shared" si="5"/>
        <v/>
      </c>
      <c r="R38" s="23" t="str">
        <f t="shared" si="6"/>
        <v/>
      </c>
      <c r="S38" s="5" t="str">
        <f t="shared" si="18"/>
        <v/>
      </c>
      <c r="T38" s="5" t="str">
        <f t="shared" si="19"/>
        <v/>
      </c>
      <c r="U38" s="5" t="str">
        <f t="shared" si="20"/>
        <v/>
      </c>
      <c r="V38" s="4" t="str">
        <f t="shared" si="25"/>
        <v/>
      </c>
      <c r="W38" s="6" t="str">
        <f t="shared" si="8"/>
        <v/>
      </c>
      <c r="X38" s="22" t="str">
        <f t="shared" si="9"/>
        <v/>
      </c>
      <c r="Y38" s="22" t="str">
        <f t="shared" si="10"/>
        <v/>
      </c>
      <c r="Z38" s="22"/>
      <c r="AA38" s="1">
        <v>35</v>
      </c>
      <c r="AB38" s="1">
        <v>1</v>
      </c>
      <c r="AC38" s="1" t="s">
        <v>38</v>
      </c>
      <c r="AD38" s="2">
        <v>44825</v>
      </c>
      <c r="AE38" s="2">
        <v>43780</v>
      </c>
      <c r="AF38" s="36">
        <v>59.37</v>
      </c>
      <c r="AG38" s="36">
        <v>30.77</v>
      </c>
      <c r="AH38" s="36">
        <v>28.6</v>
      </c>
      <c r="AI38" s="36">
        <v>2.25</v>
      </c>
      <c r="AK38" s="34" t="e">
        <f t="shared" si="21"/>
        <v>#VALUE!</v>
      </c>
      <c r="AL38" s="34" t="e">
        <f t="shared" si="22"/>
        <v>#VALUE!</v>
      </c>
      <c r="AM38" s="34" t="e">
        <f t="shared" si="23"/>
        <v>#VALUE!</v>
      </c>
      <c r="AN38" s="34" t="e">
        <f t="shared" si="24"/>
        <v>#VALUE!</v>
      </c>
    </row>
    <row r="39" spans="5:40" x14ac:dyDescent="0.25">
      <c r="E39" s="25">
        <f t="shared" si="11"/>
        <v>36</v>
      </c>
      <c r="F39" s="26" t="str">
        <f t="shared" si="12"/>
        <v/>
      </c>
      <c r="G39" s="27" t="str">
        <f t="shared" si="13"/>
        <v/>
      </c>
      <c r="H39" s="28" t="str">
        <f t="shared" si="0"/>
        <v/>
      </c>
      <c r="I39" s="3" t="str">
        <f t="shared" si="14"/>
        <v/>
      </c>
      <c r="J39" s="3" t="str">
        <f t="shared" si="1"/>
        <v xml:space="preserve"> </v>
      </c>
      <c r="K39" s="3" t="str">
        <f t="shared" si="15"/>
        <v/>
      </c>
      <c r="L39" s="30" t="str">
        <f t="shared" si="2"/>
        <v/>
      </c>
      <c r="M39" s="29" t="str">
        <f t="shared" si="16"/>
        <v/>
      </c>
      <c r="N39" s="29" t="str">
        <f t="shared" si="17"/>
        <v/>
      </c>
      <c r="O39" s="29" t="str">
        <f t="shared" si="3"/>
        <v/>
      </c>
      <c r="P39" s="29" t="str">
        <f t="shared" si="4"/>
        <v/>
      </c>
      <c r="Q39" s="29" t="str">
        <f t="shared" si="5"/>
        <v/>
      </c>
      <c r="R39" s="23" t="str">
        <f t="shared" si="6"/>
        <v/>
      </c>
      <c r="S39" s="5" t="str">
        <f t="shared" si="18"/>
        <v/>
      </c>
      <c r="T39" s="5" t="str">
        <f t="shared" si="19"/>
        <v/>
      </c>
      <c r="U39" s="5" t="str">
        <f t="shared" si="20"/>
        <v/>
      </c>
      <c r="V39" s="4" t="str">
        <f t="shared" si="25"/>
        <v/>
      </c>
      <c r="W39" s="6" t="str">
        <f t="shared" si="8"/>
        <v/>
      </c>
      <c r="X39" s="22" t="str">
        <f t="shared" si="9"/>
        <v/>
      </c>
      <c r="Y39" s="22" t="str">
        <f t="shared" si="10"/>
        <v/>
      </c>
      <c r="Z39" s="22"/>
      <c r="AA39" s="1">
        <v>36</v>
      </c>
      <c r="AB39" s="1">
        <v>1</v>
      </c>
      <c r="AC39" s="1" t="s">
        <v>38</v>
      </c>
      <c r="AD39" s="2">
        <v>44855</v>
      </c>
      <c r="AE39" s="2">
        <v>43780</v>
      </c>
      <c r="AF39" s="36">
        <v>59.37</v>
      </c>
      <c r="AG39" s="36">
        <v>32.450000000000003</v>
      </c>
      <c r="AH39" s="36">
        <v>26.92</v>
      </c>
      <c r="AI39" s="36">
        <v>2.19</v>
      </c>
      <c r="AK39" s="34" t="e">
        <f t="shared" si="21"/>
        <v>#VALUE!</v>
      </c>
      <c r="AL39" s="34" t="e">
        <f t="shared" si="22"/>
        <v>#VALUE!</v>
      </c>
      <c r="AM39" s="34" t="e">
        <f t="shared" si="23"/>
        <v>#VALUE!</v>
      </c>
      <c r="AN39" s="34" t="e">
        <f t="shared" si="24"/>
        <v>#VALUE!</v>
      </c>
    </row>
    <row r="40" spans="5:40" x14ac:dyDescent="0.25">
      <c r="E40" s="25">
        <f t="shared" si="11"/>
        <v>37</v>
      </c>
      <c r="F40" s="26" t="str">
        <f t="shared" si="12"/>
        <v/>
      </c>
      <c r="G40" s="27" t="str">
        <f t="shared" si="13"/>
        <v/>
      </c>
      <c r="H40" s="28" t="str">
        <f t="shared" si="0"/>
        <v/>
      </c>
      <c r="I40" s="3" t="str">
        <f t="shared" si="14"/>
        <v/>
      </c>
      <c r="J40" s="3" t="str">
        <f t="shared" si="1"/>
        <v xml:space="preserve"> </v>
      </c>
      <c r="K40" s="3" t="str">
        <f t="shared" si="15"/>
        <v/>
      </c>
      <c r="L40" s="30" t="str">
        <f t="shared" si="2"/>
        <v/>
      </c>
      <c r="M40" s="29" t="str">
        <f t="shared" si="16"/>
        <v/>
      </c>
      <c r="N40" s="29" t="str">
        <f t="shared" si="17"/>
        <v/>
      </c>
      <c r="O40" s="29" t="str">
        <f t="shared" si="3"/>
        <v/>
      </c>
      <c r="P40" s="29" t="str">
        <f t="shared" si="4"/>
        <v/>
      </c>
      <c r="Q40" s="29" t="str">
        <f t="shared" si="5"/>
        <v/>
      </c>
      <c r="R40" s="23" t="str">
        <f t="shared" si="6"/>
        <v/>
      </c>
      <c r="S40" s="5" t="str">
        <f t="shared" si="18"/>
        <v/>
      </c>
      <c r="T40" s="5" t="str">
        <f t="shared" si="19"/>
        <v/>
      </c>
      <c r="U40" s="5" t="str">
        <f t="shared" si="20"/>
        <v/>
      </c>
      <c r="V40" s="4" t="str">
        <f t="shared" si="25"/>
        <v/>
      </c>
      <c r="W40" s="6" t="str">
        <f t="shared" si="8"/>
        <v/>
      </c>
      <c r="X40" s="22" t="str">
        <f t="shared" si="9"/>
        <v/>
      </c>
      <c r="Y40" s="22" t="str">
        <f t="shared" si="10"/>
        <v/>
      </c>
      <c r="Z40" s="22"/>
      <c r="AA40" s="1">
        <v>37</v>
      </c>
      <c r="AB40" s="1">
        <v>1</v>
      </c>
      <c r="AC40" s="1" t="s">
        <v>38</v>
      </c>
      <c r="AD40" s="2">
        <v>44886</v>
      </c>
      <c r="AE40" s="2">
        <v>43780</v>
      </c>
      <c r="AF40" s="36">
        <v>59.37</v>
      </c>
      <c r="AG40" s="36">
        <v>32.380000000000003</v>
      </c>
      <c r="AH40" s="36">
        <v>26.99</v>
      </c>
      <c r="AI40" s="36">
        <v>2.12</v>
      </c>
      <c r="AK40" s="34" t="e">
        <f t="shared" si="21"/>
        <v>#VALUE!</v>
      </c>
      <c r="AL40" s="34" t="e">
        <f t="shared" si="22"/>
        <v>#VALUE!</v>
      </c>
      <c r="AM40" s="34" t="e">
        <f t="shared" si="23"/>
        <v>#VALUE!</v>
      </c>
      <c r="AN40" s="34" t="e">
        <f t="shared" si="24"/>
        <v>#VALUE!</v>
      </c>
    </row>
    <row r="41" spans="5:40" x14ac:dyDescent="0.25">
      <c r="E41" s="25">
        <f t="shared" si="11"/>
        <v>38</v>
      </c>
      <c r="F41" s="26" t="str">
        <f t="shared" si="12"/>
        <v/>
      </c>
      <c r="G41" s="27" t="str">
        <f t="shared" si="13"/>
        <v/>
      </c>
      <c r="H41" s="28" t="str">
        <f t="shared" si="0"/>
        <v/>
      </c>
      <c r="I41" s="3" t="str">
        <f t="shared" si="14"/>
        <v/>
      </c>
      <c r="J41" s="3" t="str">
        <f t="shared" si="1"/>
        <v xml:space="preserve"> </v>
      </c>
      <c r="K41" s="3" t="str">
        <f t="shared" si="15"/>
        <v/>
      </c>
      <c r="L41" s="30" t="str">
        <f t="shared" si="2"/>
        <v/>
      </c>
      <c r="M41" s="29" t="str">
        <f t="shared" si="16"/>
        <v/>
      </c>
      <c r="N41" s="29" t="str">
        <f t="shared" si="17"/>
        <v/>
      </c>
      <c r="O41" s="29" t="str">
        <f t="shared" si="3"/>
        <v/>
      </c>
      <c r="P41" s="29" t="str">
        <f t="shared" si="4"/>
        <v/>
      </c>
      <c r="Q41" s="29" t="str">
        <f t="shared" si="5"/>
        <v/>
      </c>
      <c r="R41" s="23" t="str">
        <f t="shared" si="6"/>
        <v/>
      </c>
      <c r="S41" s="5" t="str">
        <f t="shared" si="18"/>
        <v/>
      </c>
      <c r="T41" s="5" t="str">
        <f t="shared" si="19"/>
        <v/>
      </c>
      <c r="U41" s="5" t="str">
        <f t="shared" si="20"/>
        <v/>
      </c>
      <c r="V41" s="4" t="str">
        <f t="shared" si="25"/>
        <v/>
      </c>
      <c r="W41" s="6" t="str">
        <f t="shared" si="8"/>
        <v/>
      </c>
      <c r="X41" s="22" t="str">
        <f t="shared" si="9"/>
        <v/>
      </c>
      <c r="Y41" s="22" t="str">
        <f t="shared" si="10"/>
        <v/>
      </c>
      <c r="Z41" s="22"/>
      <c r="AA41" s="1">
        <v>38</v>
      </c>
      <c r="AB41" s="1">
        <v>1</v>
      </c>
      <c r="AC41" s="1" t="s">
        <v>38</v>
      </c>
      <c r="AD41" s="2">
        <v>44916</v>
      </c>
      <c r="AE41" s="2">
        <v>43780</v>
      </c>
      <c r="AF41" s="36">
        <v>59.37</v>
      </c>
      <c r="AG41" s="36">
        <v>34.049999999999997</v>
      </c>
      <c r="AH41" s="36">
        <v>25.32</v>
      </c>
      <c r="AI41" s="36">
        <v>2.06</v>
      </c>
      <c r="AK41" s="34" t="e">
        <f t="shared" si="21"/>
        <v>#VALUE!</v>
      </c>
      <c r="AL41" s="34" t="e">
        <f t="shared" si="22"/>
        <v>#VALUE!</v>
      </c>
      <c r="AM41" s="34" t="e">
        <f t="shared" si="23"/>
        <v>#VALUE!</v>
      </c>
      <c r="AN41" s="34" t="e">
        <f t="shared" si="24"/>
        <v>#VALUE!</v>
      </c>
    </row>
    <row r="42" spans="5:40" x14ac:dyDescent="0.25">
      <c r="E42" s="25">
        <f t="shared" si="11"/>
        <v>39</v>
      </c>
      <c r="F42" s="26" t="str">
        <f t="shared" si="12"/>
        <v/>
      </c>
      <c r="G42" s="27" t="str">
        <f t="shared" si="13"/>
        <v/>
      </c>
      <c r="H42" s="28" t="str">
        <f t="shared" si="0"/>
        <v/>
      </c>
      <c r="I42" s="3" t="str">
        <f t="shared" si="14"/>
        <v/>
      </c>
      <c r="J42" s="3" t="str">
        <f t="shared" si="1"/>
        <v xml:space="preserve"> </v>
      </c>
      <c r="K42" s="3" t="str">
        <f t="shared" si="15"/>
        <v/>
      </c>
      <c r="L42" s="30" t="str">
        <f t="shared" si="2"/>
        <v/>
      </c>
      <c r="M42" s="29" t="str">
        <f t="shared" si="16"/>
        <v/>
      </c>
      <c r="N42" s="29" t="str">
        <f t="shared" si="17"/>
        <v/>
      </c>
      <c r="O42" s="29" t="str">
        <f t="shared" si="3"/>
        <v/>
      </c>
      <c r="P42" s="29" t="str">
        <f t="shared" si="4"/>
        <v/>
      </c>
      <c r="Q42" s="29" t="str">
        <f t="shared" si="5"/>
        <v/>
      </c>
      <c r="R42" s="23" t="str">
        <f t="shared" si="6"/>
        <v/>
      </c>
      <c r="S42" s="5" t="str">
        <f t="shared" si="18"/>
        <v/>
      </c>
      <c r="T42" s="5" t="str">
        <f t="shared" si="19"/>
        <v/>
      </c>
      <c r="U42" s="5" t="str">
        <f t="shared" si="20"/>
        <v/>
      </c>
      <c r="V42" s="4" t="str">
        <f t="shared" si="25"/>
        <v/>
      </c>
      <c r="W42" s="6" t="str">
        <f t="shared" si="8"/>
        <v/>
      </c>
      <c r="X42" s="22" t="str">
        <f t="shared" si="9"/>
        <v/>
      </c>
      <c r="Y42" s="22" t="str">
        <f t="shared" si="10"/>
        <v/>
      </c>
      <c r="Z42" s="22"/>
      <c r="AA42" s="1">
        <v>39</v>
      </c>
      <c r="AB42" s="1">
        <v>1</v>
      </c>
      <c r="AC42" s="1" t="s">
        <v>38</v>
      </c>
      <c r="AD42" s="2">
        <v>44947</v>
      </c>
      <c r="AE42" s="2">
        <v>43780</v>
      </c>
      <c r="AF42" s="36">
        <v>59.37</v>
      </c>
      <c r="AG42" s="36">
        <v>34.07</v>
      </c>
      <c r="AH42" s="36">
        <v>25.3</v>
      </c>
      <c r="AI42" s="36">
        <v>1.99</v>
      </c>
      <c r="AK42" s="34" t="e">
        <f t="shared" si="21"/>
        <v>#VALUE!</v>
      </c>
      <c r="AL42" s="34" t="e">
        <f t="shared" si="22"/>
        <v>#VALUE!</v>
      </c>
      <c r="AM42" s="34" t="e">
        <f t="shared" si="23"/>
        <v>#VALUE!</v>
      </c>
      <c r="AN42" s="34" t="e">
        <f t="shared" si="24"/>
        <v>#VALUE!</v>
      </c>
    </row>
    <row r="43" spans="5:40" x14ac:dyDescent="0.25">
      <c r="E43" s="25">
        <f t="shared" si="11"/>
        <v>40</v>
      </c>
      <c r="F43" s="26" t="str">
        <f t="shared" si="12"/>
        <v/>
      </c>
      <c r="G43" s="27" t="str">
        <f t="shared" si="13"/>
        <v/>
      </c>
      <c r="H43" s="28" t="str">
        <f t="shared" si="0"/>
        <v/>
      </c>
      <c r="I43" s="3" t="str">
        <f t="shared" si="14"/>
        <v/>
      </c>
      <c r="J43" s="3" t="str">
        <f t="shared" si="1"/>
        <v xml:space="preserve"> </v>
      </c>
      <c r="K43" s="3" t="str">
        <f t="shared" si="15"/>
        <v/>
      </c>
      <c r="L43" s="30" t="str">
        <f t="shared" si="2"/>
        <v/>
      </c>
      <c r="M43" s="29" t="str">
        <f t="shared" si="16"/>
        <v/>
      </c>
      <c r="N43" s="29" t="str">
        <f t="shared" si="17"/>
        <v/>
      </c>
      <c r="O43" s="29" t="str">
        <f t="shared" si="3"/>
        <v/>
      </c>
      <c r="P43" s="29" t="str">
        <f t="shared" si="4"/>
        <v/>
      </c>
      <c r="Q43" s="29" t="str">
        <f t="shared" si="5"/>
        <v/>
      </c>
      <c r="R43" s="23" t="str">
        <f t="shared" si="6"/>
        <v/>
      </c>
      <c r="S43" s="5" t="str">
        <f t="shared" si="18"/>
        <v/>
      </c>
      <c r="T43" s="5" t="str">
        <f t="shared" si="19"/>
        <v/>
      </c>
      <c r="U43" s="5" t="str">
        <f t="shared" si="20"/>
        <v/>
      </c>
      <c r="V43" s="4" t="str">
        <f t="shared" si="25"/>
        <v/>
      </c>
      <c r="W43" s="6" t="str">
        <f t="shared" si="8"/>
        <v/>
      </c>
      <c r="X43" s="22" t="str">
        <f t="shared" si="9"/>
        <v/>
      </c>
      <c r="Y43" s="22" t="str">
        <f t="shared" si="10"/>
        <v/>
      </c>
      <c r="Z43" s="22"/>
      <c r="AA43" s="1">
        <v>40</v>
      </c>
      <c r="AB43" s="1">
        <v>1</v>
      </c>
      <c r="AC43" s="1" t="s">
        <v>38</v>
      </c>
      <c r="AD43" s="2">
        <v>44978</v>
      </c>
      <c r="AE43" s="2">
        <v>43780</v>
      </c>
      <c r="AF43" s="36">
        <v>59.37</v>
      </c>
      <c r="AG43" s="36">
        <v>34.93</v>
      </c>
      <c r="AH43" s="36">
        <v>24.44</v>
      </c>
      <c r="AI43" s="36">
        <v>1.92</v>
      </c>
      <c r="AK43" s="34" t="e">
        <f t="shared" si="21"/>
        <v>#VALUE!</v>
      </c>
      <c r="AL43" s="34" t="e">
        <f t="shared" si="22"/>
        <v>#VALUE!</v>
      </c>
      <c r="AM43" s="34" t="e">
        <f t="shared" si="23"/>
        <v>#VALUE!</v>
      </c>
      <c r="AN43" s="34" t="e">
        <f t="shared" si="24"/>
        <v>#VALUE!</v>
      </c>
    </row>
    <row r="44" spans="5:40" x14ac:dyDescent="0.25">
      <c r="E44" s="25">
        <f t="shared" si="11"/>
        <v>41</v>
      </c>
      <c r="F44" s="26" t="str">
        <f t="shared" si="12"/>
        <v/>
      </c>
      <c r="G44" s="27" t="str">
        <f t="shared" si="13"/>
        <v/>
      </c>
      <c r="H44" s="28" t="str">
        <f t="shared" si="0"/>
        <v/>
      </c>
      <c r="I44" s="3" t="str">
        <f t="shared" si="14"/>
        <v/>
      </c>
      <c r="J44" s="3" t="str">
        <f t="shared" si="1"/>
        <v xml:space="preserve"> </v>
      </c>
      <c r="K44" s="3" t="str">
        <f t="shared" si="15"/>
        <v/>
      </c>
      <c r="L44" s="30" t="str">
        <f t="shared" si="2"/>
        <v/>
      </c>
      <c r="M44" s="29" t="str">
        <f t="shared" si="16"/>
        <v/>
      </c>
      <c r="N44" s="29" t="str">
        <f t="shared" si="17"/>
        <v/>
      </c>
      <c r="O44" s="29" t="str">
        <f t="shared" si="3"/>
        <v/>
      </c>
      <c r="P44" s="29" t="str">
        <f t="shared" si="4"/>
        <v/>
      </c>
      <c r="Q44" s="29" t="str">
        <f t="shared" si="5"/>
        <v/>
      </c>
      <c r="R44" s="23" t="str">
        <f t="shared" si="6"/>
        <v/>
      </c>
      <c r="S44" s="5" t="str">
        <f t="shared" si="18"/>
        <v/>
      </c>
      <c r="T44" s="5" t="str">
        <f t="shared" si="19"/>
        <v/>
      </c>
      <c r="U44" s="5" t="str">
        <f t="shared" si="20"/>
        <v/>
      </c>
      <c r="V44" s="4" t="str">
        <f t="shared" si="25"/>
        <v/>
      </c>
      <c r="W44" s="6" t="str">
        <f t="shared" si="8"/>
        <v/>
      </c>
      <c r="X44" s="22" t="str">
        <f t="shared" si="9"/>
        <v/>
      </c>
      <c r="Y44" s="22" t="str">
        <f t="shared" si="10"/>
        <v/>
      </c>
      <c r="Z44" s="22"/>
      <c r="AA44" s="1">
        <v>41</v>
      </c>
      <c r="AB44" s="1">
        <v>1</v>
      </c>
      <c r="AC44" s="1" t="s">
        <v>38</v>
      </c>
      <c r="AD44" s="2">
        <v>45006</v>
      </c>
      <c r="AE44" s="2">
        <v>43780</v>
      </c>
      <c r="AF44" s="36">
        <v>59.37</v>
      </c>
      <c r="AG44" s="36">
        <v>38.1</v>
      </c>
      <c r="AH44" s="36">
        <v>21.27</v>
      </c>
      <c r="AI44" s="36">
        <v>1.85</v>
      </c>
      <c r="AK44" s="34" t="e">
        <f t="shared" si="21"/>
        <v>#VALUE!</v>
      </c>
      <c r="AL44" s="34" t="e">
        <f t="shared" si="22"/>
        <v>#VALUE!</v>
      </c>
      <c r="AM44" s="34" t="e">
        <f t="shared" si="23"/>
        <v>#VALUE!</v>
      </c>
      <c r="AN44" s="34" t="e">
        <f t="shared" si="24"/>
        <v>#VALUE!</v>
      </c>
    </row>
    <row r="45" spans="5:40" x14ac:dyDescent="0.25">
      <c r="E45" s="25">
        <f t="shared" si="11"/>
        <v>42</v>
      </c>
      <c r="F45" s="26" t="str">
        <f t="shared" si="12"/>
        <v/>
      </c>
      <c r="G45" s="27" t="str">
        <f t="shared" si="13"/>
        <v/>
      </c>
      <c r="H45" s="28" t="str">
        <f t="shared" si="0"/>
        <v/>
      </c>
      <c r="I45" s="3" t="str">
        <f t="shared" si="14"/>
        <v/>
      </c>
      <c r="J45" s="3" t="str">
        <f t="shared" si="1"/>
        <v xml:space="preserve"> </v>
      </c>
      <c r="K45" s="3" t="str">
        <f t="shared" si="15"/>
        <v/>
      </c>
      <c r="L45" s="30" t="str">
        <f t="shared" si="2"/>
        <v/>
      </c>
      <c r="M45" s="29" t="str">
        <f t="shared" si="16"/>
        <v/>
      </c>
      <c r="N45" s="29" t="str">
        <f t="shared" si="17"/>
        <v/>
      </c>
      <c r="O45" s="29" t="str">
        <f t="shared" si="3"/>
        <v/>
      </c>
      <c r="P45" s="29" t="str">
        <f t="shared" si="4"/>
        <v/>
      </c>
      <c r="Q45" s="29" t="str">
        <f t="shared" si="5"/>
        <v/>
      </c>
      <c r="R45" s="23" t="str">
        <f t="shared" si="6"/>
        <v/>
      </c>
      <c r="S45" s="5" t="str">
        <f t="shared" si="18"/>
        <v/>
      </c>
      <c r="T45" s="5" t="str">
        <f t="shared" si="19"/>
        <v/>
      </c>
      <c r="U45" s="5" t="str">
        <f t="shared" si="20"/>
        <v/>
      </c>
      <c r="V45" s="4" t="str">
        <f t="shared" si="25"/>
        <v/>
      </c>
      <c r="W45" s="6" t="str">
        <f t="shared" si="8"/>
        <v/>
      </c>
      <c r="X45" s="22" t="str">
        <f t="shared" si="9"/>
        <v/>
      </c>
      <c r="Y45" s="22" t="str">
        <f t="shared" si="10"/>
        <v/>
      </c>
      <c r="Z45" s="22"/>
      <c r="AA45" s="1">
        <v>42</v>
      </c>
      <c r="AB45" s="1">
        <v>1</v>
      </c>
      <c r="AC45" s="1" t="s">
        <v>38</v>
      </c>
      <c r="AD45" s="2">
        <v>45037</v>
      </c>
      <c r="AE45" s="2">
        <v>43780</v>
      </c>
      <c r="AF45" s="36">
        <v>59.37</v>
      </c>
      <c r="AG45" s="36">
        <v>36.79</v>
      </c>
      <c r="AH45" s="36">
        <v>22.58</v>
      </c>
      <c r="AI45" s="36">
        <v>1.77</v>
      </c>
      <c r="AK45" s="34" t="e">
        <f t="shared" si="21"/>
        <v>#VALUE!</v>
      </c>
      <c r="AL45" s="34" t="e">
        <f t="shared" si="22"/>
        <v>#VALUE!</v>
      </c>
      <c r="AM45" s="34" t="e">
        <f t="shared" si="23"/>
        <v>#VALUE!</v>
      </c>
      <c r="AN45" s="34" t="e">
        <f t="shared" si="24"/>
        <v>#VALUE!</v>
      </c>
    </row>
    <row r="46" spans="5:40" x14ac:dyDescent="0.25">
      <c r="E46" s="25">
        <f t="shared" si="11"/>
        <v>43</v>
      </c>
      <c r="F46" s="26" t="str">
        <f t="shared" si="12"/>
        <v/>
      </c>
      <c r="G46" s="27" t="str">
        <f t="shared" si="13"/>
        <v/>
      </c>
      <c r="H46" s="28" t="str">
        <f t="shared" si="0"/>
        <v/>
      </c>
      <c r="I46" s="3" t="str">
        <f t="shared" si="14"/>
        <v/>
      </c>
      <c r="J46" s="3" t="str">
        <f t="shared" si="1"/>
        <v xml:space="preserve"> </v>
      </c>
      <c r="K46" s="3" t="str">
        <f t="shared" si="15"/>
        <v/>
      </c>
      <c r="L46" s="30" t="str">
        <f t="shared" si="2"/>
        <v/>
      </c>
      <c r="M46" s="29" t="str">
        <f t="shared" si="16"/>
        <v/>
      </c>
      <c r="N46" s="29" t="str">
        <f t="shared" si="17"/>
        <v/>
      </c>
      <c r="O46" s="29" t="str">
        <f t="shared" si="3"/>
        <v/>
      </c>
      <c r="P46" s="29" t="str">
        <f t="shared" si="4"/>
        <v/>
      </c>
      <c r="Q46" s="29" t="str">
        <f t="shared" si="5"/>
        <v/>
      </c>
      <c r="R46" s="23" t="str">
        <f t="shared" si="6"/>
        <v/>
      </c>
      <c r="S46" s="5" t="str">
        <f t="shared" si="18"/>
        <v/>
      </c>
      <c r="T46" s="5" t="str">
        <f t="shared" si="19"/>
        <v/>
      </c>
      <c r="U46" s="5" t="str">
        <f t="shared" si="20"/>
        <v/>
      </c>
      <c r="V46" s="4" t="str">
        <f t="shared" si="25"/>
        <v/>
      </c>
      <c r="W46" s="6" t="str">
        <f t="shared" si="8"/>
        <v/>
      </c>
      <c r="X46" s="22" t="str">
        <f t="shared" si="9"/>
        <v/>
      </c>
      <c r="Y46" s="22" t="str">
        <f t="shared" si="10"/>
        <v/>
      </c>
      <c r="Z46" s="22"/>
      <c r="AA46" s="1">
        <v>43</v>
      </c>
      <c r="AB46" s="1">
        <v>1</v>
      </c>
      <c r="AC46" s="1" t="s">
        <v>38</v>
      </c>
      <c r="AD46" s="2">
        <v>45067</v>
      </c>
      <c r="AE46" s="2">
        <v>43780</v>
      </c>
      <c r="AF46" s="36">
        <v>59.37</v>
      </c>
      <c r="AG46" s="36">
        <v>38.42</v>
      </c>
      <c r="AH46" s="36">
        <v>20.95</v>
      </c>
      <c r="AI46" s="36">
        <v>1.7</v>
      </c>
      <c r="AK46" s="34" t="e">
        <f t="shared" si="21"/>
        <v>#VALUE!</v>
      </c>
      <c r="AL46" s="34" t="e">
        <f t="shared" si="22"/>
        <v>#VALUE!</v>
      </c>
      <c r="AM46" s="34" t="e">
        <f t="shared" si="23"/>
        <v>#VALUE!</v>
      </c>
      <c r="AN46" s="34" t="e">
        <f t="shared" si="24"/>
        <v>#VALUE!</v>
      </c>
    </row>
    <row r="47" spans="5:40" x14ac:dyDescent="0.25">
      <c r="E47" s="25">
        <f t="shared" si="11"/>
        <v>44</v>
      </c>
      <c r="F47" s="26" t="str">
        <f t="shared" si="12"/>
        <v/>
      </c>
      <c r="G47" s="27" t="str">
        <f t="shared" si="13"/>
        <v/>
      </c>
      <c r="H47" s="28" t="str">
        <f t="shared" si="0"/>
        <v/>
      </c>
      <c r="I47" s="3" t="str">
        <f t="shared" si="14"/>
        <v/>
      </c>
      <c r="J47" s="3" t="str">
        <f t="shared" si="1"/>
        <v xml:space="preserve"> </v>
      </c>
      <c r="K47" s="3" t="str">
        <f t="shared" si="15"/>
        <v/>
      </c>
      <c r="L47" s="30" t="str">
        <f t="shared" si="2"/>
        <v/>
      </c>
      <c r="M47" s="29" t="str">
        <f t="shared" si="16"/>
        <v/>
      </c>
      <c r="N47" s="29" t="str">
        <f t="shared" si="17"/>
        <v/>
      </c>
      <c r="O47" s="29" t="str">
        <f t="shared" si="3"/>
        <v/>
      </c>
      <c r="P47" s="29" t="str">
        <f t="shared" si="4"/>
        <v/>
      </c>
      <c r="Q47" s="29" t="str">
        <f t="shared" si="5"/>
        <v/>
      </c>
      <c r="R47" s="23" t="str">
        <f t="shared" si="6"/>
        <v/>
      </c>
      <c r="S47" s="5" t="str">
        <f t="shared" si="18"/>
        <v/>
      </c>
      <c r="T47" s="5" t="str">
        <f t="shared" si="19"/>
        <v/>
      </c>
      <c r="U47" s="5" t="str">
        <f t="shared" si="20"/>
        <v/>
      </c>
      <c r="V47" s="4" t="str">
        <f t="shared" si="25"/>
        <v/>
      </c>
      <c r="W47" s="6" t="str">
        <f t="shared" si="8"/>
        <v/>
      </c>
      <c r="X47" s="22" t="str">
        <f t="shared" si="9"/>
        <v/>
      </c>
      <c r="Y47" s="22" t="str">
        <f t="shared" si="10"/>
        <v/>
      </c>
      <c r="Z47" s="22"/>
      <c r="AA47" s="1">
        <v>44</v>
      </c>
      <c r="AB47" s="1">
        <v>1</v>
      </c>
      <c r="AC47" s="1" t="s">
        <v>38</v>
      </c>
      <c r="AD47" s="2">
        <v>45098</v>
      </c>
      <c r="AE47" s="2">
        <v>43780</v>
      </c>
      <c r="AF47" s="36">
        <v>59.37</v>
      </c>
      <c r="AG47" s="36">
        <v>38.700000000000003</v>
      </c>
      <c r="AH47" s="36">
        <v>20.67</v>
      </c>
      <c r="AI47" s="36">
        <v>1.62</v>
      </c>
      <c r="AK47" s="34" t="e">
        <f t="shared" si="21"/>
        <v>#VALUE!</v>
      </c>
      <c r="AL47" s="34" t="e">
        <f t="shared" si="22"/>
        <v>#VALUE!</v>
      </c>
      <c r="AM47" s="34" t="e">
        <f t="shared" si="23"/>
        <v>#VALUE!</v>
      </c>
      <c r="AN47" s="34" t="e">
        <f t="shared" si="24"/>
        <v>#VALUE!</v>
      </c>
    </row>
    <row r="48" spans="5:40" x14ac:dyDescent="0.25">
      <c r="E48" s="25">
        <f t="shared" si="11"/>
        <v>45</v>
      </c>
      <c r="F48" s="26" t="str">
        <f t="shared" si="12"/>
        <v/>
      </c>
      <c r="G48" s="27" t="str">
        <f t="shared" si="13"/>
        <v/>
      </c>
      <c r="H48" s="28" t="str">
        <f t="shared" si="0"/>
        <v/>
      </c>
      <c r="I48" s="3" t="str">
        <f t="shared" si="14"/>
        <v/>
      </c>
      <c r="J48" s="3" t="str">
        <f t="shared" si="1"/>
        <v xml:space="preserve"> </v>
      </c>
      <c r="K48" s="3" t="str">
        <f t="shared" si="15"/>
        <v/>
      </c>
      <c r="L48" s="30" t="str">
        <f t="shared" si="2"/>
        <v/>
      </c>
      <c r="M48" s="29" t="str">
        <f t="shared" si="16"/>
        <v/>
      </c>
      <c r="N48" s="29" t="str">
        <f t="shared" si="17"/>
        <v/>
      </c>
      <c r="O48" s="29" t="str">
        <f t="shared" si="3"/>
        <v/>
      </c>
      <c r="P48" s="29" t="str">
        <f t="shared" si="4"/>
        <v/>
      </c>
      <c r="Q48" s="29" t="str">
        <f t="shared" si="5"/>
        <v/>
      </c>
      <c r="R48" s="23" t="str">
        <f t="shared" si="6"/>
        <v/>
      </c>
      <c r="S48" s="5" t="str">
        <f t="shared" si="18"/>
        <v/>
      </c>
      <c r="T48" s="5" t="str">
        <f t="shared" si="19"/>
        <v/>
      </c>
      <c r="U48" s="5" t="str">
        <f t="shared" si="20"/>
        <v/>
      </c>
      <c r="V48" s="4" t="str">
        <f t="shared" si="25"/>
        <v/>
      </c>
      <c r="W48" s="6" t="str">
        <f t="shared" si="8"/>
        <v/>
      </c>
      <c r="X48" s="22" t="str">
        <f t="shared" si="9"/>
        <v/>
      </c>
      <c r="Y48" s="22" t="str">
        <f t="shared" si="10"/>
        <v/>
      </c>
      <c r="Z48" s="22"/>
      <c r="AA48" s="1">
        <v>45</v>
      </c>
      <c r="AB48" s="1">
        <v>1</v>
      </c>
      <c r="AC48" s="1" t="s">
        <v>38</v>
      </c>
      <c r="AD48" s="2">
        <v>45128</v>
      </c>
      <c r="AE48" s="2">
        <v>43780</v>
      </c>
      <c r="AF48" s="36">
        <v>59.37</v>
      </c>
      <c r="AG48" s="36">
        <v>40.31</v>
      </c>
      <c r="AH48" s="36">
        <v>19.059999999999999</v>
      </c>
      <c r="AI48" s="36">
        <v>1.55</v>
      </c>
      <c r="AK48" s="34" t="e">
        <f t="shared" si="21"/>
        <v>#VALUE!</v>
      </c>
      <c r="AL48" s="34" t="e">
        <f t="shared" si="22"/>
        <v>#VALUE!</v>
      </c>
      <c r="AM48" s="34" t="e">
        <f t="shared" si="23"/>
        <v>#VALUE!</v>
      </c>
      <c r="AN48" s="34" t="e">
        <f t="shared" si="24"/>
        <v>#VALUE!</v>
      </c>
    </row>
    <row r="49" spans="5:40" x14ac:dyDescent="0.25">
      <c r="E49" s="25">
        <f t="shared" si="11"/>
        <v>46</v>
      </c>
      <c r="F49" s="26" t="str">
        <f t="shared" si="12"/>
        <v/>
      </c>
      <c r="G49" s="27" t="str">
        <f t="shared" si="13"/>
        <v/>
      </c>
      <c r="H49" s="28" t="str">
        <f t="shared" si="0"/>
        <v/>
      </c>
      <c r="I49" s="3" t="str">
        <f t="shared" si="14"/>
        <v/>
      </c>
      <c r="J49" s="3" t="str">
        <f t="shared" si="1"/>
        <v xml:space="preserve"> </v>
      </c>
      <c r="K49" s="3" t="str">
        <f t="shared" si="15"/>
        <v/>
      </c>
      <c r="L49" s="30" t="str">
        <f t="shared" si="2"/>
        <v/>
      </c>
      <c r="M49" s="29" t="str">
        <f t="shared" si="16"/>
        <v/>
      </c>
      <c r="N49" s="29" t="str">
        <f t="shared" si="17"/>
        <v/>
      </c>
      <c r="O49" s="29" t="str">
        <f t="shared" si="3"/>
        <v/>
      </c>
      <c r="P49" s="29" t="str">
        <f t="shared" si="4"/>
        <v/>
      </c>
      <c r="Q49" s="29" t="str">
        <f t="shared" si="5"/>
        <v/>
      </c>
      <c r="R49" s="23" t="str">
        <f t="shared" si="6"/>
        <v/>
      </c>
      <c r="S49" s="5" t="str">
        <f t="shared" si="18"/>
        <v/>
      </c>
      <c r="T49" s="5" t="str">
        <f t="shared" si="19"/>
        <v/>
      </c>
      <c r="U49" s="5" t="str">
        <f t="shared" si="20"/>
        <v/>
      </c>
      <c r="V49" s="4" t="str">
        <f t="shared" si="25"/>
        <v/>
      </c>
      <c r="W49" s="6" t="str">
        <f t="shared" si="8"/>
        <v/>
      </c>
      <c r="X49" s="22" t="str">
        <f t="shared" si="9"/>
        <v/>
      </c>
      <c r="Y49" s="22" t="str">
        <f t="shared" si="10"/>
        <v/>
      </c>
      <c r="Z49" s="22"/>
      <c r="AA49" s="1">
        <v>46</v>
      </c>
      <c r="AB49" s="1">
        <v>1</v>
      </c>
      <c r="AC49" s="1" t="s">
        <v>38</v>
      </c>
      <c r="AD49" s="2">
        <v>45159</v>
      </c>
      <c r="AE49" s="2">
        <v>43780</v>
      </c>
      <c r="AF49" s="36">
        <v>59.37</v>
      </c>
      <c r="AG49" s="36">
        <v>40.700000000000003</v>
      </c>
      <c r="AH49" s="36">
        <v>18.670000000000002</v>
      </c>
      <c r="AI49" s="36">
        <v>1.47</v>
      </c>
      <c r="AK49" s="34" t="e">
        <f t="shared" si="21"/>
        <v>#VALUE!</v>
      </c>
      <c r="AL49" s="34" t="e">
        <f t="shared" si="22"/>
        <v>#VALUE!</v>
      </c>
      <c r="AM49" s="34" t="e">
        <f t="shared" si="23"/>
        <v>#VALUE!</v>
      </c>
      <c r="AN49" s="34" t="e">
        <f t="shared" si="24"/>
        <v>#VALUE!</v>
      </c>
    </row>
    <row r="50" spans="5:40" x14ac:dyDescent="0.25">
      <c r="E50" s="25">
        <f t="shared" si="11"/>
        <v>47</v>
      </c>
      <c r="F50" s="26" t="str">
        <f t="shared" si="12"/>
        <v/>
      </c>
      <c r="G50" s="27" t="str">
        <f t="shared" si="13"/>
        <v/>
      </c>
      <c r="H50" s="28" t="str">
        <f t="shared" si="0"/>
        <v/>
      </c>
      <c r="I50" s="3" t="str">
        <f t="shared" si="14"/>
        <v/>
      </c>
      <c r="J50" s="3" t="str">
        <f t="shared" si="1"/>
        <v xml:space="preserve"> </v>
      </c>
      <c r="K50" s="3" t="str">
        <f t="shared" si="15"/>
        <v/>
      </c>
      <c r="L50" s="30" t="str">
        <f t="shared" si="2"/>
        <v/>
      </c>
      <c r="M50" s="29" t="str">
        <f t="shared" si="16"/>
        <v/>
      </c>
      <c r="N50" s="29" t="str">
        <f t="shared" si="17"/>
        <v/>
      </c>
      <c r="O50" s="29" t="str">
        <f t="shared" si="3"/>
        <v/>
      </c>
      <c r="P50" s="29" t="str">
        <f t="shared" si="4"/>
        <v/>
      </c>
      <c r="Q50" s="29" t="str">
        <f t="shared" si="5"/>
        <v/>
      </c>
      <c r="R50" s="23" t="str">
        <f t="shared" si="6"/>
        <v/>
      </c>
      <c r="S50" s="5" t="str">
        <f t="shared" si="18"/>
        <v/>
      </c>
      <c r="T50" s="5" t="str">
        <f t="shared" si="19"/>
        <v/>
      </c>
      <c r="U50" s="5" t="str">
        <f t="shared" si="20"/>
        <v/>
      </c>
      <c r="V50" s="4" t="str">
        <f t="shared" si="25"/>
        <v/>
      </c>
      <c r="W50" s="6" t="str">
        <f t="shared" si="8"/>
        <v/>
      </c>
      <c r="X50" s="22" t="str">
        <f t="shared" si="9"/>
        <v/>
      </c>
      <c r="Y50" s="22" t="str">
        <f t="shared" si="10"/>
        <v/>
      </c>
      <c r="Z50" s="22"/>
      <c r="AA50" s="1">
        <v>47</v>
      </c>
      <c r="AB50" s="1">
        <v>1</v>
      </c>
      <c r="AC50" s="1" t="s">
        <v>38</v>
      </c>
      <c r="AD50" s="2">
        <v>45190</v>
      </c>
      <c r="AE50" s="2">
        <v>43780</v>
      </c>
      <c r="AF50" s="36">
        <v>59.37</v>
      </c>
      <c r="AG50" s="36">
        <v>41.74</v>
      </c>
      <c r="AH50" s="36">
        <v>17.63</v>
      </c>
      <c r="AI50" s="36">
        <v>1.38</v>
      </c>
      <c r="AK50" s="34" t="e">
        <f t="shared" si="21"/>
        <v>#VALUE!</v>
      </c>
      <c r="AL50" s="34" t="e">
        <f t="shared" si="22"/>
        <v>#VALUE!</v>
      </c>
      <c r="AM50" s="34" t="e">
        <f t="shared" si="23"/>
        <v>#VALUE!</v>
      </c>
      <c r="AN50" s="34" t="e">
        <f t="shared" si="24"/>
        <v>#VALUE!</v>
      </c>
    </row>
    <row r="51" spans="5:40" x14ac:dyDescent="0.25">
      <c r="E51" s="25">
        <f t="shared" si="11"/>
        <v>48</v>
      </c>
      <c r="F51" s="26" t="str">
        <f t="shared" si="12"/>
        <v/>
      </c>
      <c r="G51" s="27" t="str">
        <f t="shared" si="13"/>
        <v/>
      </c>
      <c r="H51" s="28" t="str">
        <f t="shared" si="0"/>
        <v/>
      </c>
      <c r="I51" s="3" t="str">
        <f t="shared" si="14"/>
        <v/>
      </c>
      <c r="J51" s="3" t="str">
        <f t="shared" si="1"/>
        <v xml:space="preserve"> </v>
      </c>
      <c r="K51" s="3" t="str">
        <f t="shared" si="15"/>
        <v/>
      </c>
      <c r="L51" s="30" t="str">
        <f t="shared" si="2"/>
        <v/>
      </c>
      <c r="M51" s="29" t="str">
        <f t="shared" si="16"/>
        <v/>
      </c>
      <c r="N51" s="29" t="str">
        <f t="shared" si="17"/>
        <v/>
      </c>
      <c r="O51" s="29" t="str">
        <f t="shared" si="3"/>
        <v/>
      </c>
      <c r="P51" s="29" t="str">
        <f t="shared" si="4"/>
        <v/>
      </c>
      <c r="Q51" s="29" t="str">
        <f t="shared" si="5"/>
        <v/>
      </c>
      <c r="R51" s="23" t="str">
        <f t="shared" si="6"/>
        <v/>
      </c>
      <c r="S51" s="5" t="str">
        <f t="shared" si="18"/>
        <v/>
      </c>
      <c r="T51" s="5" t="str">
        <f t="shared" si="19"/>
        <v/>
      </c>
      <c r="U51" s="5" t="str">
        <f t="shared" si="20"/>
        <v/>
      </c>
      <c r="V51" s="4" t="str">
        <f t="shared" si="25"/>
        <v/>
      </c>
      <c r="W51" s="6" t="str">
        <f t="shared" si="8"/>
        <v/>
      </c>
      <c r="X51" s="22" t="str">
        <f t="shared" si="9"/>
        <v/>
      </c>
      <c r="Y51" s="22" t="str">
        <f t="shared" si="10"/>
        <v/>
      </c>
      <c r="Z51" s="22"/>
      <c r="AA51" s="1">
        <v>48</v>
      </c>
      <c r="AB51" s="1">
        <v>1</v>
      </c>
      <c r="AC51" s="1" t="s">
        <v>38</v>
      </c>
      <c r="AD51" s="2">
        <v>45220</v>
      </c>
      <c r="AE51" s="2">
        <v>43780</v>
      </c>
      <c r="AF51" s="36">
        <v>59.37</v>
      </c>
      <c r="AG51" s="36">
        <v>43.33</v>
      </c>
      <c r="AH51" s="36">
        <v>16.04</v>
      </c>
      <c r="AI51" s="36">
        <v>1.3</v>
      </c>
      <c r="AK51" s="34" t="e">
        <f t="shared" si="21"/>
        <v>#VALUE!</v>
      </c>
      <c r="AL51" s="34" t="e">
        <f t="shared" si="22"/>
        <v>#VALUE!</v>
      </c>
      <c r="AM51" s="34" t="e">
        <f t="shared" si="23"/>
        <v>#VALUE!</v>
      </c>
      <c r="AN51" s="34" t="e">
        <f t="shared" si="24"/>
        <v>#VALUE!</v>
      </c>
    </row>
    <row r="52" spans="5:40" x14ac:dyDescent="0.25">
      <c r="E52" s="25">
        <f t="shared" si="11"/>
        <v>49</v>
      </c>
      <c r="F52" s="26" t="str">
        <f t="shared" si="12"/>
        <v/>
      </c>
      <c r="G52" s="27" t="str">
        <f t="shared" si="13"/>
        <v/>
      </c>
      <c r="H52" s="28" t="str">
        <f t="shared" si="0"/>
        <v/>
      </c>
      <c r="I52" s="3" t="str">
        <f t="shared" si="14"/>
        <v/>
      </c>
      <c r="J52" s="3" t="str">
        <f t="shared" si="1"/>
        <v xml:space="preserve"> </v>
      </c>
      <c r="K52" s="3" t="str">
        <f t="shared" si="15"/>
        <v/>
      </c>
      <c r="L52" s="30" t="str">
        <f t="shared" si="2"/>
        <v/>
      </c>
      <c r="M52" s="29" t="str">
        <f t="shared" si="16"/>
        <v/>
      </c>
      <c r="N52" s="29" t="str">
        <f t="shared" si="17"/>
        <v/>
      </c>
      <c r="O52" s="29" t="str">
        <f t="shared" si="3"/>
        <v/>
      </c>
      <c r="P52" s="29" t="str">
        <f t="shared" si="4"/>
        <v/>
      </c>
      <c r="Q52" s="29" t="str">
        <f t="shared" si="5"/>
        <v/>
      </c>
      <c r="R52" s="23" t="str">
        <f t="shared" si="6"/>
        <v/>
      </c>
      <c r="S52" s="5" t="str">
        <f t="shared" si="18"/>
        <v/>
      </c>
      <c r="T52" s="5" t="str">
        <f t="shared" si="19"/>
        <v/>
      </c>
      <c r="U52" s="5" t="str">
        <f t="shared" si="20"/>
        <v/>
      </c>
      <c r="V52" s="4" t="str">
        <f t="shared" si="25"/>
        <v/>
      </c>
      <c r="W52" s="6" t="str">
        <f t="shared" si="8"/>
        <v/>
      </c>
      <c r="X52" s="22" t="str">
        <f t="shared" si="9"/>
        <v/>
      </c>
      <c r="Y52" s="22" t="str">
        <f t="shared" si="10"/>
        <v/>
      </c>
      <c r="Z52" s="22"/>
      <c r="AA52" s="1">
        <v>49</v>
      </c>
      <c r="AB52" s="1">
        <v>1</v>
      </c>
      <c r="AC52" s="1" t="s">
        <v>38</v>
      </c>
      <c r="AD52" s="2">
        <v>45251</v>
      </c>
      <c r="AE52" s="2">
        <v>43780</v>
      </c>
      <c r="AF52" s="36">
        <v>59.37</v>
      </c>
      <c r="AG52" s="36">
        <v>43.9</v>
      </c>
      <c r="AH52" s="36">
        <v>15.47</v>
      </c>
      <c r="AI52" s="36">
        <v>1.21</v>
      </c>
      <c r="AK52" s="34" t="e">
        <f t="shared" si="21"/>
        <v>#VALUE!</v>
      </c>
      <c r="AL52" s="34" t="e">
        <f t="shared" si="22"/>
        <v>#VALUE!</v>
      </c>
      <c r="AM52" s="34" t="e">
        <f t="shared" si="23"/>
        <v>#VALUE!</v>
      </c>
      <c r="AN52" s="34" t="e">
        <f t="shared" si="24"/>
        <v>#VALUE!</v>
      </c>
    </row>
    <row r="53" spans="5:40" x14ac:dyDescent="0.25">
      <c r="E53" s="25">
        <f t="shared" si="11"/>
        <v>50</v>
      </c>
      <c r="F53" s="26" t="str">
        <f t="shared" si="12"/>
        <v/>
      </c>
      <c r="G53" s="27" t="str">
        <f t="shared" si="13"/>
        <v/>
      </c>
      <c r="H53" s="28" t="str">
        <f t="shared" si="0"/>
        <v/>
      </c>
      <c r="I53" s="3" t="str">
        <f t="shared" si="14"/>
        <v/>
      </c>
      <c r="J53" s="3" t="str">
        <f t="shared" si="1"/>
        <v xml:space="preserve"> </v>
      </c>
      <c r="K53" s="3" t="str">
        <f t="shared" si="15"/>
        <v/>
      </c>
      <c r="L53" s="30" t="str">
        <f t="shared" si="2"/>
        <v/>
      </c>
      <c r="M53" s="29" t="str">
        <f t="shared" si="16"/>
        <v/>
      </c>
      <c r="N53" s="29" t="str">
        <f t="shared" si="17"/>
        <v/>
      </c>
      <c r="O53" s="29" t="str">
        <f t="shared" si="3"/>
        <v/>
      </c>
      <c r="P53" s="29" t="str">
        <f t="shared" si="4"/>
        <v/>
      </c>
      <c r="Q53" s="29" t="str">
        <f t="shared" si="5"/>
        <v/>
      </c>
      <c r="R53" s="23" t="str">
        <f t="shared" si="6"/>
        <v/>
      </c>
      <c r="S53" s="5" t="str">
        <f t="shared" si="18"/>
        <v/>
      </c>
      <c r="T53" s="5" t="str">
        <f t="shared" si="19"/>
        <v/>
      </c>
      <c r="U53" s="5" t="str">
        <f t="shared" si="20"/>
        <v/>
      </c>
      <c r="V53" s="4" t="str">
        <f t="shared" si="25"/>
        <v/>
      </c>
      <c r="W53" s="6" t="str">
        <f t="shared" si="8"/>
        <v/>
      </c>
      <c r="X53" s="22" t="str">
        <f t="shared" si="9"/>
        <v/>
      </c>
      <c r="Y53" s="22" t="str">
        <f t="shared" si="10"/>
        <v/>
      </c>
      <c r="Z53" s="22"/>
      <c r="AA53" s="1">
        <v>50</v>
      </c>
      <c r="AB53" s="1">
        <v>1</v>
      </c>
      <c r="AC53" s="1" t="s">
        <v>38</v>
      </c>
      <c r="AD53" s="2">
        <v>45281</v>
      </c>
      <c r="AE53" s="2">
        <v>43780</v>
      </c>
      <c r="AF53" s="36">
        <v>59.37</v>
      </c>
      <c r="AG53" s="36">
        <v>45.47</v>
      </c>
      <c r="AH53" s="36">
        <v>13.9</v>
      </c>
      <c r="AI53" s="36">
        <v>1.1299999999999999</v>
      </c>
      <c r="AK53" s="34" t="e">
        <f t="shared" si="21"/>
        <v>#VALUE!</v>
      </c>
      <c r="AL53" s="34" t="e">
        <f t="shared" si="22"/>
        <v>#VALUE!</v>
      </c>
      <c r="AM53" s="34" t="e">
        <f t="shared" si="23"/>
        <v>#VALUE!</v>
      </c>
      <c r="AN53" s="34" t="e">
        <f t="shared" si="24"/>
        <v>#VALUE!</v>
      </c>
    </row>
    <row r="54" spans="5:40" x14ac:dyDescent="0.25">
      <c r="E54" s="25">
        <f t="shared" si="11"/>
        <v>51</v>
      </c>
      <c r="F54" s="26" t="str">
        <f t="shared" si="12"/>
        <v/>
      </c>
      <c r="G54" s="27" t="str">
        <f t="shared" si="13"/>
        <v/>
      </c>
      <c r="H54" s="28" t="str">
        <f t="shared" si="0"/>
        <v/>
      </c>
      <c r="I54" s="3" t="str">
        <f t="shared" si="14"/>
        <v/>
      </c>
      <c r="J54" s="3" t="str">
        <f t="shared" si="1"/>
        <v xml:space="preserve"> </v>
      </c>
      <c r="K54" s="3" t="str">
        <f t="shared" si="15"/>
        <v/>
      </c>
      <c r="L54" s="30" t="str">
        <f t="shared" si="2"/>
        <v/>
      </c>
      <c r="M54" s="29" t="str">
        <f t="shared" si="16"/>
        <v/>
      </c>
      <c r="N54" s="29" t="str">
        <f t="shared" si="17"/>
        <v/>
      </c>
      <c r="O54" s="29" t="str">
        <f t="shared" si="3"/>
        <v/>
      </c>
      <c r="P54" s="29" t="str">
        <f t="shared" si="4"/>
        <v/>
      </c>
      <c r="Q54" s="29" t="str">
        <f t="shared" si="5"/>
        <v/>
      </c>
      <c r="R54" s="23" t="str">
        <f t="shared" si="6"/>
        <v/>
      </c>
      <c r="S54" s="5" t="str">
        <f t="shared" si="18"/>
        <v/>
      </c>
      <c r="T54" s="5" t="str">
        <f t="shared" si="19"/>
        <v/>
      </c>
      <c r="U54" s="5" t="str">
        <f t="shared" si="20"/>
        <v/>
      </c>
      <c r="V54" s="4" t="str">
        <f t="shared" si="25"/>
        <v/>
      </c>
      <c r="W54" s="6" t="str">
        <f t="shared" si="8"/>
        <v/>
      </c>
      <c r="X54" s="22" t="str">
        <f t="shared" si="9"/>
        <v/>
      </c>
      <c r="Y54" s="22" t="str">
        <f t="shared" si="10"/>
        <v/>
      </c>
      <c r="Z54" s="22"/>
      <c r="AA54" s="1">
        <v>51</v>
      </c>
      <c r="AB54" s="1">
        <v>1</v>
      </c>
      <c r="AC54" s="1" t="s">
        <v>38</v>
      </c>
      <c r="AD54" s="2">
        <v>45312</v>
      </c>
      <c r="AE54" s="2">
        <v>43780</v>
      </c>
      <c r="AF54" s="36">
        <v>59.37</v>
      </c>
      <c r="AG54" s="36">
        <v>46.19</v>
      </c>
      <c r="AH54" s="36">
        <v>13.18</v>
      </c>
      <c r="AI54" s="36">
        <v>1.04</v>
      </c>
      <c r="AK54" s="34" t="e">
        <f t="shared" si="21"/>
        <v>#VALUE!</v>
      </c>
      <c r="AL54" s="34" t="e">
        <f t="shared" si="22"/>
        <v>#VALUE!</v>
      </c>
      <c r="AM54" s="34" t="e">
        <f t="shared" si="23"/>
        <v>#VALUE!</v>
      </c>
      <c r="AN54" s="34" t="e">
        <f t="shared" si="24"/>
        <v>#VALUE!</v>
      </c>
    </row>
    <row r="55" spans="5:40" x14ac:dyDescent="0.25">
      <c r="E55" s="25">
        <f t="shared" si="11"/>
        <v>52</v>
      </c>
      <c r="F55" s="26" t="str">
        <f t="shared" si="12"/>
        <v/>
      </c>
      <c r="G55" s="27" t="str">
        <f t="shared" si="13"/>
        <v/>
      </c>
      <c r="H55" s="28" t="str">
        <f t="shared" si="0"/>
        <v/>
      </c>
      <c r="I55" s="3" t="str">
        <f t="shared" si="14"/>
        <v/>
      </c>
      <c r="J55" s="3" t="str">
        <f t="shared" si="1"/>
        <v xml:space="preserve"> </v>
      </c>
      <c r="K55" s="3" t="str">
        <f t="shared" si="15"/>
        <v/>
      </c>
      <c r="L55" s="30" t="str">
        <f t="shared" si="2"/>
        <v/>
      </c>
      <c r="M55" s="29" t="str">
        <f t="shared" si="16"/>
        <v/>
      </c>
      <c r="N55" s="29" t="str">
        <f t="shared" si="17"/>
        <v/>
      </c>
      <c r="O55" s="29" t="str">
        <f t="shared" si="3"/>
        <v/>
      </c>
      <c r="P55" s="29" t="str">
        <f t="shared" si="4"/>
        <v/>
      </c>
      <c r="Q55" s="29" t="str">
        <f t="shared" si="5"/>
        <v/>
      </c>
      <c r="R55" s="23" t="str">
        <f t="shared" si="6"/>
        <v/>
      </c>
      <c r="S55" s="5" t="str">
        <f t="shared" si="18"/>
        <v/>
      </c>
      <c r="T55" s="5" t="str">
        <f t="shared" si="19"/>
        <v/>
      </c>
      <c r="U55" s="5" t="str">
        <f t="shared" si="20"/>
        <v/>
      </c>
      <c r="V55" s="4" t="str">
        <f t="shared" si="25"/>
        <v/>
      </c>
      <c r="W55" s="6" t="str">
        <f t="shared" si="8"/>
        <v/>
      </c>
      <c r="X55" s="22" t="str">
        <f t="shared" si="9"/>
        <v/>
      </c>
      <c r="Y55" s="22" t="str">
        <f t="shared" si="10"/>
        <v/>
      </c>
      <c r="Z55" s="22"/>
      <c r="AA55" s="1">
        <v>52</v>
      </c>
      <c r="AB55" s="1">
        <v>1</v>
      </c>
      <c r="AC55" s="1" t="s">
        <v>38</v>
      </c>
      <c r="AD55" s="2">
        <v>45343</v>
      </c>
      <c r="AE55" s="2">
        <v>43780</v>
      </c>
      <c r="AF55" s="36">
        <v>59.37</v>
      </c>
      <c r="AG55" s="36">
        <v>47.37</v>
      </c>
      <c r="AH55" s="36">
        <v>12</v>
      </c>
      <c r="AI55" s="36">
        <v>0.94</v>
      </c>
      <c r="AK55" s="34" t="e">
        <f t="shared" si="21"/>
        <v>#VALUE!</v>
      </c>
      <c r="AL55" s="34" t="e">
        <f t="shared" si="22"/>
        <v>#VALUE!</v>
      </c>
      <c r="AM55" s="34" t="e">
        <f t="shared" si="23"/>
        <v>#VALUE!</v>
      </c>
      <c r="AN55" s="34" t="e">
        <f t="shared" si="24"/>
        <v>#VALUE!</v>
      </c>
    </row>
    <row r="56" spans="5:40" x14ac:dyDescent="0.25">
      <c r="E56" s="25">
        <f t="shared" si="11"/>
        <v>53</v>
      </c>
      <c r="F56" s="26" t="str">
        <f t="shared" si="12"/>
        <v/>
      </c>
      <c r="G56" s="27" t="str">
        <f t="shared" si="13"/>
        <v/>
      </c>
      <c r="H56" s="28" t="str">
        <f t="shared" si="0"/>
        <v/>
      </c>
      <c r="I56" s="3" t="str">
        <f t="shared" si="14"/>
        <v/>
      </c>
      <c r="J56" s="3" t="str">
        <f t="shared" si="1"/>
        <v xml:space="preserve"> </v>
      </c>
      <c r="K56" s="3" t="str">
        <f t="shared" si="15"/>
        <v/>
      </c>
      <c r="L56" s="30" t="str">
        <f t="shared" si="2"/>
        <v/>
      </c>
      <c r="M56" s="29" t="str">
        <f t="shared" si="16"/>
        <v/>
      </c>
      <c r="N56" s="29" t="str">
        <f t="shared" si="17"/>
        <v/>
      </c>
      <c r="O56" s="29" t="str">
        <f t="shared" si="3"/>
        <v/>
      </c>
      <c r="P56" s="29" t="str">
        <f t="shared" si="4"/>
        <v/>
      </c>
      <c r="Q56" s="29" t="str">
        <f t="shared" si="5"/>
        <v/>
      </c>
      <c r="R56" s="23" t="str">
        <f t="shared" si="6"/>
        <v/>
      </c>
      <c r="S56" s="5" t="str">
        <f t="shared" si="18"/>
        <v/>
      </c>
      <c r="T56" s="5" t="str">
        <f t="shared" si="19"/>
        <v/>
      </c>
      <c r="U56" s="5" t="str">
        <f t="shared" si="20"/>
        <v/>
      </c>
      <c r="V56" s="4" t="str">
        <f t="shared" si="25"/>
        <v/>
      </c>
      <c r="W56" s="6" t="str">
        <f t="shared" si="8"/>
        <v/>
      </c>
      <c r="X56" s="22" t="str">
        <f t="shared" si="9"/>
        <v/>
      </c>
      <c r="Y56" s="22" t="str">
        <f t="shared" si="10"/>
        <v/>
      </c>
      <c r="Z56" s="22"/>
      <c r="AA56" s="1">
        <v>53</v>
      </c>
      <c r="AB56" s="1">
        <v>1</v>
      </c>
      <c r="AC56" s="1" t="s">
        <v>38</v>
      </c>
      <c r="AD56" s="2">
        <v>45372</v>
      </c>
      <c r="AE56" s="2">
        <v>43780</v>
      </c>
      <c r="AF56" s="36">
        <v>59.37</v>
      </c>
      <c r="AG56" s="36">
        <v>49.27</v>
      </c>
      <c r="AH56" s="36">
        <v>10.1</v>
      </c>
      <c r="AI56" s="36">
        <v>0.85</v>
      </c>
      <c r="AK56" s="34" t="e">
        <f t="shared" si="21"/>
        <v>#VALUE!</v>
      </c>
      <c r="AL56" s="34" t="e">
        <f t="shared" si="22"/>
        <v>#VALUE!</v>
      </c>
      <c r="AM56" s="34" t="e">
        <f t="shared" si="23"/>
        <v>#VALUE!</v>
      </c>
      <c r="AN56" s="34" t="e">
        <f t="shared" si="24"/>
        <v>#VALUE!</v>
      </c>
    </row>
    <row r="57" spans="5:40" x14ac:dyDescent="0.25">
      <c r="E57" s="25">
        <f t="shared" si="11"/>
        <v>54</v>
      </c>
      <c r="F57" s="26" t="str">
        <f t="shared" si="12"/>
        <v/>
      </c>
      <c r="G57" s="27" t="str">
        <f t="shared" si="13"/>
        <v/>
      </c>
      <c r="H57" s="28" t="str">
        <f t="shared" si="0"/>
        <v/>
      </c>
      <c r="I57" s="3" t="str">
        <f t="shared" si="14"/>
        <v/>
      </c>
      <c r="J57" s="3" t="str">
        <f t="shared" si="1"/>
        <v xml:space="preserve"> </v>
      </c>
      <c r="K57" s="3" t="str">
        <f t="shared" si="15"/>
        <v/>
      </c>
      <c r="L57" s="30" t="str">
        <f t="shared" si="2"/>
        <v/>
      </c>
      <c r="M57" s="29" t="str">
        <f t="shared" si="16"/>
        <v/>
      </c>
      <c r="N57" s="29" t="str">
        <f t="shared" si="17"/>
        <v/>
      </c>
      <c r="O57" s="29" t="str">
        <f t="shared" si="3"/>
        <v/>
      </c>
      <c r="P57" s="29" t="str">
        <f t="shared" si="4"/>
        <v/>
      </c>
      <c r="Q57" s="29" t="str">
        <f t="shared" si="5"/>
        <v/>
      </c>
      <c r="R57" s="23" t="str">
        <f t="shared" si="6"/>
        <v/>
      </c>
      <c r="S57" s="5" t="str">
        <f t="shared" si="18"/>
        <v/>
      </c>
      <c r="T57" s="5" t="str">
        <f t="shared" si="19"/>
        <v/>
      </c>
      <c r="U57" s="5" t="str">
        <f t="shared" si="20"/>
        <v/>
      </c>
      <c r="V57" s="4" t="str">
        <f t="shared" si="25"/>
        <v/>
      </c>
      <c r="W57" s="6" t="str">
        <f t="shared" si="8"/>
        <v/>
      </c>
      <c r="X57" s="22" t="str">
        <f t="shared" si="9"/>
        <v/>
      </c>
      <c r="Y57" s="22" t="str">
        <f t="shared" si="10"/>
        <v/>
      </c>
      <c r="Z57" s="22"/>
      <c r="AA57" s="1">
        <v>54</v>
      </c>
      <c r="AB57" s="1">
        <v>1</v>
      </c>
      <c r="AC57" s="1" t="s">
        <v>38</v>
      </c>
      <c r="AD57" s="2">
        <v>45403</v>
      </c>
      <c r="AE57" s="2">
        <v>43780</v>
      </c>
      <c r="AF57" s="36">
        <v>59.37</v>
      </c>
      <c r="AG57" s="36">
        <v>49.82</v>
      </c>
      <c r="AH57" s="36">
        <v>9.5500000000000007</v>
      </c>
      <c r="AI57" s="36">
        <v>0.75</v>
      </c>
      <c r="AK57" s="34" t="e">
        <f t="shared" si="21"/>
        <v>#VALUE!</v>
      </c>
      <c r="AL57" s="34" t="e">
        <f t="shared" si="22"/>
        <v>#VALUE!</v>
      </c>
      <c r="AM57" s="34" t="e">
        <f t="shared" si="23"/>
        <v>#VALUE!</v>
      </c>
      <c r="AN57" s="34" t="e">
        <f t="shared" si="24"/>
        <v>#VALUE!</v>
      </c>
    </row>
    <row r="58" spans="5:40" x14ac:dyDescent="0.25">
      <c r="E58" s="25">
        <f t="shared" si="11"/>
        <v>55</v>
      </c>
      <c r="F58" s="26" t="str">
        <f t="shared" si="12"/>
        <v/>
      </c>
      <c r="G58" s="27" t="str">
        <f t="shared" si="13"/>
        <v/>
      </c>
      <c r="H58" s="28" t="str">
        <f t="shared" si="0"/>
        <v/>
      </c>
      <c r="I58" s="3" t="str">
        <f t="shared" si="14"/>
        <v/>
      </c>
      <c r="J58" s="3" t="str">
        <f t="shared" si="1"/>
        <v xml:space="preserve"> </v>
      </c>
      <c r="K58" s="3" t="str">
        <f t="shared" si="15"/>
        <v/>
      </c>
      <c r="L58" s="30" t="str">
        <f t="shared" si="2"/>
        <v/>
      </c>
      <c r="M58" s="29" t="str">
        <f t="shared" si="16"/>
        <v/>
      </c>
      <c r="N58" s="29" t="str">
        <f t="shared" si="17"/>
        <v/>
      </c>
      <c r="O58" s="29" t="str">
        <f t="shared" si="3"/>
        <v/>
      </c>
      <c r="P58" s="29" t="str">
        <f t="shared" si="4"/>
        <v/>
      </c>
      <c r="Q58" s="29" t="str">
        <f t="shared" si="5"/>
        <v/>
      </c>
      <c r="R58" s="23" t="str">
        <f t="shared" si="6"/>
        <v/>
      </c>
      <c r="S58" s="5" t="str">
        <f t="shared" si="18"/>
        <v/>
      </c>
      <c r="T58" s="5" t="str">
        <f t="shared" si="19"/>
        <v/>
      </c>
      <c r="U58" s="5" t="str">
        <f t="shared" si="20"/>
        <v/>
      </c>
      <c r="V58" s="4" t="str">
        <f t="shared" si="25"/>
        <v/>
      </c>
      <c r="W58" s="6" t="str">
        <f t="shared" si="8"/>
        <v/>
      </c>
      <c r="X58" s="22" t="str">
        <f t="shared" si="9"/>
        <v/>
      </c>
      <c r="Y58" s="22" t="str">
        <f t="shared" si="10"/>
        <v/>
      </c>
      <c r="Z58" s="22"/>
      <c r="AA58" s="1">
        <v>55</v>
      </c>
      <c r="AB58" s="1">
        <v>1</v>
      </c>
      <c r="AC58" s="1" t="s">
        <v>38</v>
      </c>
      <c r="AD58" s="2">
        <v>45433</v>
      </c>
      <c r="AE58" s="2">
        <v>43780</v>
      </c>
      <c r="AF58" s="36">
        <v>59.37</v>
      </c>
      <c r="AG58" s="36">
        <v>51.35</v>
      </c>
      <c r="AH58" s="36">
        <v>8.02</v>
      </c>
      <c r="AI58" s="36">
        <v>0.65</v>
      </c>
      <c r="AK58" s="34" t="e">
        <f t="shared" si="21"/>
        <v>#VALUE!</v>
      </c>
      <c r="AL58" s="34" t="e">
        <f t="shared" si="22"/>
        <v>#VALUE!</v>
      </c>
      <c r="AM58" s="34" t="e">
        <f t="shared" si="23"/>
        <v>#VALUE!</v>
      </c>
      <c r="AN58" s="34" t="e">
        <f t="shared" si="24"/>
        <v>#VALUE!</v>
      </c>
    </row>
    <row r="59" spans="5:40" x14ac:dyDescent="0.25">
      <c r="E59" s="25">
        <f t="shared" si="11"/>
        <v>56</v>
      </c>
      <c r="F59" s="26" t="str">
        <f t="shared" si="12"/>
        <v/>
      </c>
      <c r="G59" s="27" t="str">
        <f t="shared" si="13"/>
        <v/>
      </c>
      <c r="H59" s="28" t="str">
        <f t="shared" si="0"/>
        <v/>
      </c>
      <c r="I59" s="3" t="str">
        <f t="shared" si="14"/>
        <v/>
      </c>
      <c r="J59" s="3" t="str">
        <f t="shared" si="1"/>
        <v xml:space="preserve"> </v>
      </c>
      <c r="K59" s="3" t="str">
        <f t="shared" si="15"/>
        <v/>
      </c>
      <c r="L59" s="30" t="str">
        <f t="shared" si="2"/>
        <v/>
      </c>
      <c r="M59" s="29" t="str">
        <f t="shared" si="16"/>
        <v/>
      </c>
      <c r="N59" s="29" t="str">
        <f t="shared" si="17"/>
        <v/>
      </c>
      <c r="O59" s="29" t="str">
        <f t="shared" si="3"/>
        <v/>
      </c>
      <c r="P59" s="29" t="str">
        <f t="shared" si="4"/>
        <v/>
      </c>
      <c r="Q59" s="29" t="str">
        <f t="shared" si="5"/>
        <v/>
      </c>
      <c r="R59" s="23" t="str">
        <f t="shared" si="6"/>
        <v/>
      </c>
      <c r="S59" s="5" t="str">
        <f t="shared" si="18"/>
        <v/>
      </c>
      <c r="T59" s="5" t="str">
        <f t="shared" si="19"/>
        <v/>
      </c>
      <c r="U59" s="5" t="str">
        <f t="shared" si="20"/>
        <v/>
      </c>
      <c r="V59" s="4" t="str">
        <f t="shared" si="25"/>
        <v/>
      </c>
      <c r="W59" s="6" t="str">
        <f t="shared" si="8"/>
        <v/>
      </c>
      <c r="X59" s="22" t="str">
        <f t="shared" si="9"/>
        <v/>
      </c>
      <c r="Y59" s="22" t="str">
        <f t="shared" si="10"/>
        <v/>
      </c>
      <c r="Z59" s="22"/>
      <c r="AA59" s="1">
        <v>56</v>
      </c>
      <c r="AB59" s="1">
        <v>1</v>
      </c>
      <c r="AC59" s="1" t="s">
        <v>38</v>
      </c>
      <c r="AD59" s="2">
        <v>45464</v>
      </c>
      <c r="AE59" s="2">
        <v>43780</v>
      </c>
      <c r="AF59" s="36">
        <v>59.37</v>
      </c>
      <c r="AG59" s="36">
        <v>52.38</v>
      </c>
      <c r="AH59" s="36">
        <v>6.99</v>
      </c>
      <c r="AI59" s="36">
        <v>0.55000000000000004</v>
      </c>
      <c r="AK59" s="34" t="e">
        <f t="shared" si="21"/>
        <v>#VALUE!</v>
      </c>
      <c r="AL59" s="34" t="e">
        <f t="shared" si="22"/>
        <v>#VALUE!</v>
      </c>
      <c r="AM59" s="34" t="e">
        <f t="shared" si="23"/>
        <v>#VALUE!</v>
      </c>
      <c r="AN59" s="34" t="e">
        <f t="shared" si="24"/>
        <v>#VALUE!</v>
      </c>
    </row>
    <row r="60" spans="5:40" x14ac:dyDescent="0.25">
      <c r="E60" s="25">
        <f t="shared" si="11"/>
        <v>57</v>
      </c>
      <c r="F60" s="26" t="str">
        <f t="shared" si="12"/>
        <v/>
      </c>
      <c r="G60" s="27" t="str">
        <f t="shared" si="13"/>
        <v/>
      </c>
      <c r="H60" s="28" t="str">
        <f t="shared" si="0"/>
        <v/>
      </c>
      <c r="I60" s="3" t="str">
        <f t="shared" si="14"/>
        <v/>
      </c>
      <c r="J60" s="3" t="str">
        <f t="shared" si="1"/>
        <v xml:space="preserve"> </v>
      </c>
      <c r="K60" s="3" t="str">
        <f t="shared" si="15"/>
        <v/>
      </c>
      <c r="L60" s="30" t="str">
        <f t="shared" si="2"/>
        <v/>
      </c>
      <c r="M60" s="29" t="str">
        <f t="shared" si="16"/>
        <v/>
      </c>
      <c r="N60" s="29" t="str">
        <f t="shared" si="17"/>
        <v/>
      </c>
      <c r="O60" s="29" t="str">
        <f t="shared" si="3"/>
        <v/>
      </c>
      <c r="P60" s="29" t="str">
        <f t="shared" si="4"/>
        <v/>
      </c>
      <c r="Q60" s="29" t="str">
        <f t="shared" si="5"/>
        <v/>
      </c>
      <c r="R60" s="23" t="str">
        <f t="shared" si="6"/>
        <v/>
      </c>
      <c r="S60" s="5" t="str">
        <f t="shared" si="18"/>
        <v/>
      </c>
      <c r="T60" s="5" t="str">
        <f t="shared" si="19"/>
        <v/>
      </c>
      <c r="U60" s="5" t="str">
        <f t="shared" si="20"/>
        <v/>
      </c>
      <c r="V60" s="4" t="str">
        <f t="shared" si="25"/>
        <v/>
      </c>
      <c r="W60" s="6" t="str">
        <f t="shared" si="8"/>
        <v/>
      </c>
      <c r="X60" s="22" t="str">
        <f t="shared" si="9"/>
        <v/>
      </c>
      <c r="Y60" s="22" t="str">
        <f t="shared" si="10"/>
        <v/>
      </c>
      <c r="Z60" s="22"/>
      <c r="AA60" s="1">
        <v>57</v>
      </c>
      <c r="AB60" s="1">
        <v>1</v>
      </c>
      <c r="AC60" s="1" t="s">
        <v>38</v>
      </c>
      <c r="AD60" s="2">
        <v>45494</v>
      </c>
      <c r="AE60" s="2">
        <v>43780</v>
      </c>
      <c r="AF60" s="36">
        <v>59.37</v>
      </c>
      <c r="AG60" s="36">
        <v>53.89</v>
      </c>
      <c r="AH60" s="36">
        <v>5.48</v>
      </c>
      <c r="AI60" s="36">
        <v>0.44</v>
      </c>
      <c r="AK60" s="34" t="e">
        <f t="shared" si="21"/>
        <v>#VALUE!</v>
      </c>
      <c r="AL60" s="34" t="e">
        <f t="shared" si="22"/>
        <v>#VALUE!</v>
      </c>
      <c r="AM60" s="34" t="e">
        <f t="shared" si="23"/>
        <v>#VALUE!</v>
      </c>
      <c r="AN60" s="34" t="e">
        <f t="shared" si="24"/>
        <v>#VALUE!</v>
      </c>
    </row>
    <row r="61" spans="5:40" x14ac:dyDescent="0.25">
      <c r="E61" s="25">
        <f t="shared" si="11"/>
        <v>58</v>
      </c>
      <c r="F61" s="26" t="str">
        <f t="shared" si="12"/>
        <v/>
      </c>
      <c r="G61" s="27" t="str">
        <f t="shared" si="13"/>
        <v/>
      </c>
      <c r="H61" s="28" t="str">
        <f t="shared" si="0"/>
        <v/>
      </c>
      <c r="I61" s="3" t="str">
        <f t="shared" si="14"/>
        <v/>
      </c>
      <c r="J61" s="3" t="str">
        <f t="shared" si="1"/>
        <v xml:space="preserve"> </v>
      </c>
      <c r="K61" s="3" t="str">
        <f t="shared" si="15"/>
        <v/>
      </c>
      <c r="L61" s="30" t="str">
        <f t="shared" si="2"/>
        <v/>
      </c>
      <c r="M61" s="29" t="str">
        <f t="shared" si="16"/>
        <v/>
      </c>
      <c r="N61" s="29" t="str">
        <f t="shared" si="17"/>
        <v/>
      </c>
      <c r="O61" s="29" t="str">
        <f t="shared" si="3"/>
        <v/>
      </c>
      <c r="P61" s="29" t="str">
        <f t="shared" si="4"/>
        <v/>
      </c>
      <c r="Q61" s="29" t="str">
        <f t="shared" si="5"/>
        <v/>
      </c>
      <c r="R61" s="23" t="str">
        <f t="shared" si="6"/>
        <v/>
      </c>
      <c r="S61" s="5" t="str">
        <f t="shared" si="18"/>
        <v/>
      </c>
      <c r="T61" s="5" t="str">
        <f t="shared" si="19"/>
        <v/>
      </c>
      <c r="U61" s="5" t="str">
        <f t="shared" si="20"/>
        <v/>
      </c>
      <c r="V61" s="4" t="str">
        <f t="shared" si="25"/>
        <v/>
      </c>
      <c r="W61" s="6" t="str">
        <f t="shared" si="8"/>
        <v/>
      </c>
      <c r="X61" s="22" t="str">
        <f t="shared" si="9"/>
        <v/>
      </c>
      <c r="Y61" s="22" t="str">
        <f t="shared" si="10"/>
        <v/>
      </c>
      <c r="Z61" s="22"/>
      <c r="AA61" s="1">
        <v>58</v>
      </c>
      <c r="AB61" s="1">
        <v>1</v>
      </c>
      <c r="AC61" s="1" t="s">
        <v>38</v>
      </c>
      <c r="AD61" s="2">
        <v>45525</v>
      </c>
      <c r="AE61" s="2">
        <v>43780</v>
      </c>
      <c r="AF61" s="36">
        <v>59.37</v>
      </c>
      <c r="AG61" s="36">
        <v>55.07</v>
      </c>
      <c r="AH61" s="36">
        <v>4.3</v>
      </c>
      <c r="AI61" s="36">
        <v>0.33</v>
      </c>
      <c r="AK61" s="34" t="e">
        <f t="shared" si="21"/>
        <v>#VALUE!</v>
      </c>
      <c r="AL61" s="34" t="e">
        <f t="shared" si="22"/>
        <v>#VALUE!</v>
      </c>
      <c r="AM61" s="34" t="e">
        <f t="shared" si="23"/>
        <v>#VALUE!</v>
      </c>
      <c r="AN61" s="34" t="e">
        <f t="shared" si="24"/>
        <v>#VALUE!</v>
      </c>
    </row>
    <row r="62" spans="5:40" x14ac:dyDescent="0.25">
      <c r="E62" s="25">
        <f t="shared" si="11"/>
        <v>59</v>
      </c>
      <c r="F62" s="26" t="str">
        <f t="shared" si="12"/>
        <v/>
      </c>
      <c r="G62" s="27" t="str">
        <f t="shared" si="13"/>
        <v/>
      </c>
      <c r="H62" s="28" t="str">
        <f t="shared" si="0"/>
        <v/>
      </c>
      <c r="I62" s="3" t="str">
        <f t="shared" si="14"/>
        <v/>
      </c>
      <c r="J62" s="3" t="str">
        <f t="shared" si="1"/>
        <v xml:space="preserve"> </v>
      </c>
      <c r="K62" s="3" t="str">
        <f t="shared" si="15"/>
        <v/>
      </c>
      <c r="L62" s="30" t="str">
        <f t="shared" si="2"/>
        <v/>
      </c>
      <c r="M62" s="29" t="str">
        <f t="shared" si="16"/>
        <v/>
      </c>
      <c r="N62" s="29" t="str">
        <f t="shared" si="17"/>
        <v/>
      </c>
      <c r="O62" s="29" t="str">
        <f t="shared" si="3"/>
        <v/>
      </c>
      <c r="P62" s="29" t="str">
        <f t="shared" si="4"/>
        <v/>
      </c>
      <c r="Q62" s="29" t="str">
        <f t="shared" si="5"/>
        <v/>
      </c>
      <c r="R62" s="23" t="str">
        <f t="shared" si="6"/>
        <v/>
      </c>
      <c r="S62" s="5" t="str">
        <f t="shared" si="18"/>
        <v/>
      </c>
      <c r="T62" s="5" t="str">
        <f t="shared" si="19"/>
        <v/>
      </c>
      <c r="U62" s="5" t="str">
        <f t="shared" si="20"/>
        <v/>
      </c>
      <c r="V62" s="4" t="str">
        <f t="shared" si="25"/>
        <v/>
      </c>
      <c r="W62" s="6" t="str">
        <f t="shared" si="8"/>
        <v/>
      </c>
      <c r="X62" s="22" t="str">
        <f t="shared" si="9"/>
        <v/>
      </c>
      <c r="Y62" s="22" t="str">
        <f t="shared" si="10"/>
        <v/>
      </c>
      <c r="Z62" s="22"/>
      <c r="AA62" s="1">
        <v>59</v>
      </c>
      <c r="AB62" s="1">
        <v>1</v>
      </c>
      <c r="AC62" s="1" t="s">
        <v>38</v>
      </c>
      <c r="AD62" s="2">
        <v>45556</v>
      </c>
      <c r="AE62" s="2">
        <v>43780</v>
      </c>
      <c r="AF62" s="36">
        <v>59.37</v>
      </c>
      <c r="AG62" s="36">
        <v>56.47</v>
      </c>
      <c r="AH62" s="36">
        <v>2.9</v>
      </c>
      <c r="AI62" s="36">
        <v>0.22</v>
      </c>
      <c r="AK62" s="34" t="e">
        <f t="shared" si="21"/>
        <v>#VALUE!</v>
      </c>
      <c r="AL62" s="34" t="e">
        <f t="shared" si="22"/>
        <v>#VALUE!</v>
      </c>
      <c r="AM62" s="34" t="e">
        <f t="shared" si="23"/>
        <v>#VALUE!</v>
      </c>
      <c r="AN62" s="34" t="e">
        <f t="shared" si="24"/>
        <v>#VALUE!</v>
      </c>
    </row>
    <row r="63" spans="5:40" x14ac:dyDescent="0.25">
      <c r="E63" s="25">
        <f t="shared" si="11"/>
        <v>60</v>
      </c>
      <c r="F63" s="26" t="str">
        <f t="shared" si="12"/>
        <v/>
      </c>
      <c r="G63" s="27" t="str">
        <f t="shared" si="13"/>
        <v/>
      </c>
      <c r="H63" s="28" t="str">
        <f t="shared" si="0"/>
        <v/>
      </c>
      <c r="I63" s="3" t="str">
        <f t="shared" si="14"/>
        <v/>
      </c>
      <c r="J63" s="3" t="str">
        <f t="shared" si="1"/>
        <v xml:space="preserve"> </v>
      </c>
      <c r="K63" s="3" t="str">
        <f t="shared" si="15"/>
        <v/>
      </c>
      <c r="L63" s="30" t="str">
        <f t="shared" si="2"/>
        <v/>
      </c>
      <c r="M63" s="29" t="str">
        <f t="shared" si="16"/>
        <v/>
      </c>
      <c r="N63" s="29" t="str">
        <f t="shared" si="17"/>
        <v/>
      </c>
      <c r="O63" s="29" t="str">
        <f t="shared" si="3"/>
        <v/>
      </c>
      <c r="P63" s="29" t="str">
        <f t="shared" si="4"/>
        <v/>
      </c>
      <c r="Q63" s="29" t="str">
        <f t="shared" si="5"/>
        <v/>
      </c>
      <c r="R63" s="23" t="str">
        <f t="shared" si="6"/>
        <v/>
      </c>
      <c r="S63" s="5" t="str">
        <f t="shared" si="18"/>
        <v/>
      </c>
      <c r="T63" s="5" t="str">
        <f t="shared" si="19"/>
        <v/>
      </c>
      <c r="U63" s="5" t="str">
        <f t="shared" si="20"/>
        <v/>
      </c>
      <c r="V63" s="4" t="str">
        <f t="shared" si="25"/>
        <v/>
      </c>
      <c r="W63" s="6" t="str">
        <f t="shared" si="8"/>
        <v/>
      </c>
      <c r="X63" s="22" t="str">
        <f t="shared" si="9"/>
        <v/>
      </c>
      <c r="Y63" s="22" t="str">
        <f t="shared" si="10"/>
        <v/>
      </c>
      <c r="Z63" s="22"/>
      <c r="AA63" s="1">
        <v>60</v>
      </c>
      <c r="AB63" s="1">
        <v>1</v>
      </c>
      <c r="AC63" s="1" t="s">
        <v>38</v>
      </c>
      <c r="AD63" s="2">
        <v>45586</v>
      </c>
      <c r="AE63" s="2">
        <v>43780</v>
      </c>
      <c r="AF63" s="36">
        <v>59.76</v>
      </c>
      <c r="AG63" s="36">
        <v>58.34</v>
      </c>
      <c r="AH63" s="36">
        <v>1.42</v>
      </c>
      <c r="AI63" s="36">
        <v>0.11</v>
      </c>
      <c r="AK63" s="34" t="e">
        <f t="shared" si="21"/>
        <v>#VALUE!</v>
      </c>
      <c r="AL63" s="34" t="e">
        <f t="shared" si="22"/>
        <v>#VALUE!</v>
      </c>
      <c r="AM63" s="34" t="e">
        <f t="shared" si="23"/>
        <v>#VALUE!</v>
      </c>
      <c r="AN63" s="34" t="e">
        <f t="shared" si="24"/>
        <v>#VALUE!</v>
      </c>
    </row>
    <row r="64" spans="5:40" x14ac:dyDescent="0.25">
      <c r="E64" s="25" t="str">
        <f t="shared" si="11"/>
        <v xml:space="preserve"> </v>
      </c>
      <c r="F64" s="26" t="str">
        <f t="shared" si="12"/>
        <v xml:space="preserve"> </v>
      </c>
      <c r="G64" s="27" t="str">
        <f t="shared" si="13"/>
        <v xml:space="preserve"> </v>
      </c>
      <c r="H64" s="28" t="str">
        <f t="shared" si="0"/>
        <v xml:space="preserve"> </v>
      </c>
      <c r="I64" s="3" t="str">
        <f t="shared" si="14"/>
        <v xml:space="preserve"> </v>
      </c>
      <c r="J64" s="3" t="str">
        <f t="shared" si="1"/>
        <v xml:space="preserve"> </v>
      </c>
      <c r="K64" s="3" t="str">
        <f t="shared" si="15"/>
        <v/>
      </c>
      <c r="L64" s="30" t="str">
        <f t="shared" ref="L64:L69" si="26">IFERROR(ROUND(IF($C$18=" "," ",$C$13/K64),2),"")</f>
        <v/>
      </c>
      <c r="M64" s="29" t="str">
        <f t="shared" si="16"/>
        <v/>
      </c>
      <c r="N64" s="29" t="str">
        <f t="shared" si="17"/>
        <v/>
      </c>
      <c r="O64" s="29" t="str">
        <f t="shared" si="3"/>
        <v/>
      </c>
      <c r="P64" s="29" t="str">
        <f t="shared" si="4"/>
        <v/>
      </c>
      <c r="Q64" s="29" t="str">
        <f t="shared" si="5"/>
        <v/>
      </c>
      <c r="R64" s="23" t="str">
        <f t="shared" si="6"/>
        <v/>
      </c>
      <c r="S64" s="5" t="str">
        <f t="shared" si="18"/>
        <v/>
      </c>
      <c r="T64" s="5" t="str">
        <f t="shared" si="19"/>
        <v/>
      </c>
      <c r="U64" s="5" t="str">
        <f t="shared" si="20"/>
        <v/>
      </c>
      <c r="V64" s="4" t="str">
        <f t="shared" si="25"/>
        <v xml:space="preserve"> </v>
      </c>
      <c r="W64" s="6" t="str">
        <f t="shared" si="8"/>
        <v xml:space="preserve"> </v>
      </c>
      <c r="X64" s="22" t="str">
        <f t="shared" si="9"/>
        <v/>
      </c>
      <c r="Y64" s="22" t="str">
        <f t="shared" si="10"/>
        <v/>
      </c>
      <c r="Z64" s="22"/>
    </row>
    <row r="65" spans="5:26" x14ac:dyDescent="0.25">
      <c r="E65" s="25" t="str">
        <f t="shared" si="11"/>
        <v xml:space="preserve"> </v>
      </c>
      <c r="F65" s="26" t="str">
        <f t="shared" si="12"/>
        <v xml:space="preserve"> </v>
      </c>
      <c r="G65" s="27" t="str">
        <f t="shared" si="13"/>
        <v xml:space="preserve"> </v>
      </c>
      <c r="H65" s="28" t="str">
        <f t="shared" si="0"/>
        <v xml:space="preserve"> </v>
      </c>
      <c r="I65" s="3" t="str">
        <f t="shared" si="14"/>
        <v xml:space="preserve"> </v>
      </c>
      <c r="J65" s="3" t="str">
        <f t="shared" si="1"/>
        <v xml:space="preserve"> </v>
      </c>
      <c r="K65" s="3" t="str">
        <f t="shared" si="15"/>
        <v/>
      </c>
      <c r="L65" s="30" t="str">
        <f t="shared" si="26"/>
        <v/>
      </c>
      <c r="M65" s="29" t="str">
        <f t="shared" si="16"/>
        <v/>
      </c>
      <c r="N65" s="29" t="str">
        <f t="shared" si="17"/>
        <v/>
      </c>
      <c r="O65" s="29" t="str">
        <f t="shared" si="3"/>
        <v/>
      </c>
      <c r="P65" s="29" t="str">
        <f t="shared" si="4"/>
        <v/>
      </c>
      <c r="Q65" s="29" t="str">
        <f t="shared" si="5"/>
        <v/>
      </c>
      <c r="R65" s="23" t="str">
        <f t="shared" si="6"/>
        <v/>
      </c>
      <c r="S65" s="5" t="str">
        <f t="shared" si="18"/>
        <v/>
      </c>
      <c r="T65" s="5" t="str">
        <f t="shared" si="19"/>
        <v/>
      </c>
      <c r="U65" s="5" t="str">
        <f t="shared" si="20"/>
        <v/>
      </c>
      <c r="V65" s="4" t="str">
        <f t="shared" si="25"/>
        <v xml:space="preserve"> </v>
      </c>
      <c r="W65" s="6" t="str">
        <f t="shared" si="8"/>
        <v xml:space="preserve"> </v>
      </c>
      <c r="X65" s="22" t="str">
        <f t="shared" si="9"/>
        <v/>
      </c>
      <c r="Y65" s="22" t="str">
        <f t="shared" si="10"/>
        <v/>
      </c>
      <c r="Z65" s="22"/>
    </row>
    <row r="66" spans="5:26" x14ac:dyDescent="0.25">
      <c r="E66" s="25" t="str">
        <f t="shared" si="11"/>
        <v xml:space="preserve"> </v>
      </c>
      <c r="F66" s="26" t="str">
        <f t="shared" si="12"/>
        <v xml:space="preserve"> </v>
      </c>
      <c r="G66" s="27" t="str">
        <f t="shared" si="13"/>
        <v xml:space="preserve"> </v>
      </c>
      <c r="H66" s="28" t="str">
        <f t="shared" si="0"/>
        <v xml:space="preserve"> </v>
      </c>
      <c r="I66" s="3" t="str">
        <f t="shared" si="14"/>
        <v xml:space="preserve"> </v>
      </c>
      <c r="J66" s="3" t="str">
        <f t="shared" si="1"/>
        <v xml:space="preserve"> </v>
      </c>
      <c r="K66" s="3" t="str">
        <f t="shared" si="15"/>
        <v/>
      </c>
      <c r="L66" s="30" t="str">
        <f t="shared" si="26"/>
        <v/>
      </c>
      <c r="M66" s="29" t="str">
        <f t="shared" si="16"/>
        <v/>
      </c>
      <c r="N66" s="29" t="str">
        <f t="shared" si="17"/>
        <v/>
      </c>
      <c r="O66" s="29" t="str">
        <f t="shared" si="3"/>
        <v/>
      </c>
      <c r="P66" s="29" t="str">
        <f t="shared" si="4"/>
        <v/>
      </c>
      <c r="Q66" s="29" t="str">
        <f t="shared" si="5"/>
        <v/>
      </c>
      <c r="R66" s="23" t="str">
        <f t="shared" si="6"/>
        <v/>
      </c>
      <c r="S66" s="5" t="str">
        <f t="shared" si="18"/>
        <v/>
      </c>
      <c r="T66" s="5" t="str">
        <f t="shared" si="19"/>
        <v/>
      </c>
      <c r="U66" s="5" t="str">
        <f t="shared" si="20"/>
        <v/>
      </c>
      <c r="V66" s="4" t="str">
        <f t="shared" si="25"/>
        <v xml:space="preserve"> </v>
      </c>
      <c r="W66" s="6" t="str">
        <f t="shared" si="8"/>
        <v xml:space="preserve"> </v>
      </c>
      <c r="X66" s="22" t="str">
        <f t="shared" si="9"/>
        <v/>
      </c>
      <c r="Y66" s="22" t="str">
        <f t="shared" si="10"/>
        <v/>
      </c>
      <c r="Z66" s="22"/>
    </row>
    <row r="67" spans="5:26" x14ac:dyDescent="0.25">
      <c r="E67" s="25" t="str">
        <f t="shared" si="11"/>
        <v xml:space="preserve"> </v>
      </c>
      <c r="F67" s="26" t="str">
        <f t="shared" si="12"/>
        <v xml:space="preserve"> </v>
      </c>
      <c r="G67" s="27" t="str">
        <f t="shared" si="13"/>
        <v xml:space="preserve"> </v>
      </c>
      <c r="H67" s="28" t="str">
        <f t="shared" si="0"/>
        <v xml:space="preserve"> </v>
      </c>
      <c r="I67" s="3" t="str">
        <f t="shared" si="14"/>
        <v xml:space="preserve"> </v>
      </c>
      <c r="J67" s="3" t="str">
        <f t="shared" si="1"/>
        <v xml:space="preserve"> </v>
      </c>
      <c r="K67" s="3" t="str">
        <f t="shared" si="15"/>
        <v/>
      </c>
      <c r="L67" s="30" t="str">
        <f t="shared" si="26"/>
        <v/>
      </c>
      <c r="M67" s="29" t="str">
        <f t="shared" si="16"/>
        <v/>
      </c>
      <c r="N67" s="29" t="str">
        <f t="shared" si="17"/>
        <v/>
      </c>
      <c r="O67" s="29" t="str">
        <f t="shared" si="3"/>
        <v/>
      </c>
      <c r="P67" s="29" t="str">
        <f t="shared" si="4"/>
        <v/>
      </c>
      <c r="Q67" s="29" t="str">
        <f t="shared" si="5"/>
        <v/>
      </c>
      <c r="R67" s="23" t="str">
        <f t="shared" si="6"/>
        <v/>
      </c>
      <c r="S67" s="5" t="str">
        <f t="shared" si="18"/>
        <v/>
      </c>
      <c r="T67" s="5" t="str">
        <f t="shared" si="19"/>
        <v/>
      </c>
      <c r="U67" s="5" t="str">
        <f t="shared" si="20"/>
        <v/>
      </c>
      <c r="V67" s="4" t="str">
        <f t="shared" si="25"/>
        <v xml:space="preserve"> </v>
      </c>
      <c r="W67" s="6" t="str">
        <f t="shared" si="8"/>
        <v xml:space="preserve"> </v>
      </c>
      <c r="X67" s="22" t="str">
        <f t="shared" si="9"/>
        <v/>
      </c>
      <c r="Y67" s="22" t="str">
        <f t="shared" si="10"/>
        <v/>
      </c>
      <c r="Z67" s="22"/>
    </row>
    <row r="68" spans="5:26" x14ac:dyDescent="0.25">
      <c r="E68" s="25" t="str">
        <f t="shared" si="11"/>
        <v xml:space="preserve"> </v>
      </c>
      <c r="F68" s="26" t="str">
        <f t="shared" si="12"/>
        <v xml:space="preserve"> </v>
      </c>
      <c r="G68" s="27" t="str">
        <f t="shared" si="13"/>
        <v xml:space="preserve"> </v>
      </c>
      <c r="H68" s="28" t="str">
        <f t="shared" ref="H68:H69" si="27">IFERROR(IF(E68=" "," ",IF($E68&lt;=$C$16,$G68*$C$14/IF(DAY(DATE(MID(F68,7,4),3,0))=29,366,365),$G68*$C$15/IF(DAY(DATE(MID(F68,7,4),3,0))=29,366,365))),"")</f>
        <v xml:space="preserve"> </v>
      </c>
      <c r="I68" s="3" t="str">
        <f t="shared" si="14"/>
        <v xml:space="preserve"> </v>
      </c>
      <c r="J68" s="3" t="str">
        <f t="shared" ref="J68:J69" si="28">IFERROR(IF($C$18=" "," ",1/(1+I68))," ")</f>
        <v xml:space="preserve"> </v>
      </c>
      <c r="K68" s="3" t="str">
        <f t="shared" si="15"/>
        <v/>
      </c>
      <c r="L68" s="30" t="str">
        <f t="shared" si="26"/>
        <v/>
      </c>
      <c r="M68" s="29" t="str">
        <f t="shared" si="16"/>
        <v/>
      </c>
      <c r="N68" s="29" t="str">
        <f t="shared" si="17"/>
        <v/>
      </c>
      <c r="O68" s="29" t="str">
        <f t="shared" ref="O68:O69" si="29">IFERROR(IF($C$17=E68,M68,TRUNC($C$19-N68,2)),"")</f>
        <v/>
      </c>
      <c r="P68" s="29" t="str">
        <f t="shared" ref="P68:P69" si="30">IF(TRUNC(SUM(N68:O68),2)&lt;=0,"",TRUNC(SUM(N68:O68),2))</f>
        <v/>
      </c>
      <c r="Q68" s="29" t="str">
        <f t="shared" ref="Q68:Q69" si="31">IFERROR(IF($C$12="","",IF(TEXT(MID($C$12,1,2),"")="EX",TRUNC(M68*0.002,2))),"")</f>
        <v/>
      </c>
      <c r="R68" s="23" t="str">
        <f t="shared" ref="R68:R69" si="32">IFERROR(IF(IF(DAY(DATE(MID(F68,7,4),3,0))=29,366,365)=366,"Y","N"),"")</f>
        <v/>
      </c>
      <c r="S68" s="5" t="str">
        <f t="shared" si="18"/>
        <v/>
      </c>
      <c r="T68" s="5" t="str">
        <f t="shared" si="19"/>
        <v/>
      </c>
      <c r="U68" s="5" t="str">
        <f t="shared" si="20"/>
        <v/>
      </c>
      <c r="V68" s="4" t="str">
        <f t="shared" si="25"/>
        <v xml:space="preserve"> </v>
      </c>
      <c r="W68" s="6" t="str">
        <f t="shared" ref="W68:W69" si="33">IFERROR(IF(E68=" "," ",IF($E68&lt;=$C$16,SUM(U68-T68)*$C$14/IF(DAY(DATE(MID(U68,7,4),3,0))=29,366,365),SUM(U68-T68)*$C$15/IF(DAY(DATE(MID(U68,7,4),3,0))=29,366,365))),"")</f>
        <v xml:space="preserve"> </v>
      </c>
      <c r="X68" s="22" t="str">
        <f t="shared" ref="X68:X69" si="34">IFERROR(TRUNC(V68*M68,2),"")</f>
        <v/>
      </c>
      <c r="Y68" s="22" t="str">
        <f t="shared" ref="Y68:Y69" si="35">IFERROR(TRUNC(W68*M68,2),"")</f>
        <v/>
      </c>
      <c r="Z68" s="22"/>
    </row>
    <row r="69" spans="5:26" x14ac:dyDescent="0.25">
      <c r="E69" s="25" t="str">
        <f t="shared" ref="E69" si="36">IFERROR(IF($E68&lt;$C$17,E68+1," "),"")</f>
        <v xml:space="preserve"> </v>
      </c>
      <c r="F69" s="26" t="str">
        <f t="shared" ref="F69" si="37">IFERROR(TEXT(IF($E69&lt;=$C$17,EDATE($F$4,E69 - 1)," "),"DD/MM/YYYY"),"")</f>
        <v xml:space="preserve"> </v>
      </c>
      <c r="G69" s="27" t="str">
        <f t="shared" ref="G69" si="38">IFERROR(IF(E69=" "," ",F69-F68),"")</f>
        <v xml:space="preserve"> </v>
      </c>
      <c r="H69" s="28" t="str">
        <f t="shared" si="27"/>
        <v xml:space="preserve"> </v>
      </c>
      <c r="I69" s="3" t="str">
        <f t="shared" ref="I69" si="39">IFERROR(IF(E69=" "," ",ROUND(I68+H69+(I68*H69),6)),"")</f>
        <v xml:space="preserve"> </v>
      </c>
      <c r="J69" s="3" t="str">
        <f t="shared" si="28"/>
        <v xml:space="preserve"> </v>
      </c>
      <c r="K69" s="3" t="str">
        <f t="shared" ref="K69" si="40">IFERROR(IF($C$18=" "," ",K68+J69),"")</f>
        <v/>
      </c>
      <c r="L69" s="30" t="str">
        <f t="shared" si="26"/>
        <v/>
      </c>
      <c r="M69" s="29" t="str">
        <f t="shared" ref="M69" si="41">IFERROR(IF(IF($M68&gt;0,($M68-$O68)," ")&lt;=0,"",IF($M68&gt;0,($M68-$O68)," ")),"")</f>
        <v/>
      </c>
      <c r="N69" s="29" t="str">
        <f t="shared" ref="N69" si="42">IFERROR(IF(AND(R68="N",R69="Y"),SUM(X69:Y69),IF(AND(R68="Y",R69="N"),SUM(X69:Y69),TRUNC((M69+(0*(-1)))*(H69)+(0*(-1)),2))),"")</f>
        <v/>
      </c>
      <c r="O69" s="29" t="str">
        <f t="shared" si="29"/>
        <v/>
      </c>
      <c r="P69" s="29" t="str">
        <f t="shared" si="30"/>
        <v/>
      </c>
      <c r="Q69" s="29" t="str">
        <f t="shared" si="31"/>
        <v/>
      </c>
      <c r="R69" s="23" t="str">
        <f t="shared" si="32"/>
        <v/>
      </c>
      <c r="S69" s="5" t="str">
        <f t="shared" ref="S69" si="43">TEXT(IF(AND(R68="N",R69="Y"),EDATE($F$4,E69-2),IF(AND(R68="Y",R69="N"),EDATE($F$4,E69-2),"")),"DD/MM/YYYY")</f>
        <v/>
      </c>
      <c r="T69" s="5" t="str">
        <f t="shared" ref="T69" si="44">TEXT(IFERROR(DATE(YEAR(S69),12,31),""),"DD/MM/YYYY")</f>
        <v/>
      </c>
      <c r="U69" s="5" t="str">
        <f t="shared" ref="U69" si="45">TEXT(IFERROR(EDATE($S69,1),""),"DD/MM/YYYY")</f>
        <v/>
      </c>
      <c r="V69" s="4" t="str">
        <f t="shared" si="25"/>
        <v xml:space="preserve"> </v>
      </c>
      <c r="W69" s="6" t="str">
        <f t="shared" si="33"/>
        <v xml:space="preserve"> </v>
      </c>
      <c r="X69" s="22" t="str">
        <f t="shared" si="34"/>
        <v/>
      </c>
      <c r="Y69" s="22" t="str">
        <f t="shared" si="35"/>
        <v/>
      </c>
      <c r="Z69" s="22"/>
    </row>
    <row r="70" spans="5:26" x14ac:dyDescent="0.25">
      <c r="Q70" s="29"/>
    </row>
    <row r="71" spans="5:26" x14ac:dyDescent="0.25">
      <c r="Q71" s="29"/>
    </row>
    <row r="72" spans="5:26" x14ac:dyDescent="0.25">
      <c r="Q72" s="29"/>
    </row>
  </sheetData>
  <sheetProtection algorithmName="SHA-512" hashValue="aK7+pJJz1IIVLnDWohZ/mN6MMTw5gikrTNLQUoUfSnx/dF+dSnN1/nGkeS/ZL46O5ASzUPW2d/zH5A4xh4d4qg==" saltValue="k2TAuzf4nQUBJ+Xjp18Fdg==" spinCount="100000" sheet="1" objects="1" scenarios="1"/>
  <mergeCells count="5">
    <mergeCell ref="E2:P2"/>
    <mergeCell ref="AA3:AI3"/>
    <mergeCell ref="AK3:AN3"/>
    <mergeCell ref="B5:C5"/>
    <mergeCell ref="B9:C9"/>
  </mergeCells>
  <conditionalFormatting sqref="R4">
    <cfRule type="cellIs" dxfId="30" priority="6" operator="equal">
      <formula>"Y"</formula>
    </cfRule>
  </conditionalFormatting>
  <conditionalFormatting sqref="M4:R4 Q70:Q72 R5:R69 M5:P5 M10:M69 O10:P69 M6:M8 O6:P8 N6:N69">
    <cfRule type="cellIs" dxfId="29" priority="5" operator="equal">
      <formula>"Y"</formula>
    </cfRule>
  </conditionalFormatting>
  <conditionalFormatting sqref="M9 O9:P9">
    <cfRule type="cellIs" dxfId="28" priority="4" operator="equal">
      <formula>"Y"</formula>
    </cfRule>
  </conditionalFormatting>
  <conditionalFormatting sqref="Q5:Q69">
    <cfRule type="cellIs" dxfId="27" priority="3" operator="equal">
      <formula>"Y"</formula>
    </cfRule>
  </conditionalFormatting>
  <conditionalFormatting sqref="AK4:AN63">
    <cfRule type="cellIs" dxfId="26" priority="1" operator="greaterThan">
      <formula>0</formula>
    </cfRule>
    <cfRule type="cellIs" dxfId="25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69"/>
  <sheetViews>
    <sheetView showGridLines="0" zoomScale="85" zoomScaleNormal="85" workbookViewId="0">
      <selection activeCell="O9" sqref="O9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8" style="22" hidden="1" customWidth="1"/>
    <col min="18" max="18" width="11.7109375" style="1" hidden="1" customWidth="1"/>
    <col min="19" max="19" width="16.140625" style="1" hidden="1" customWidth="1"/>
    <col min="20" max="20" width="11.28515625" style="1" hidden="1" customWidth="1"/>
    <col min="21" max="21" width="8.7109375" style="1" hidden="1" customWidth="1"/>
    <col min="22" max="22" width="12.28515625" style="1" hidden="1" customWidth="1"/>
    <col min="23" max="24" width="6.140625" style="1" hidden="1" customWidth="1"/>
    <col min="25" max="25" width="2.5703125" style="1" customWidth="1"/>
    <col min="26" max="26" width="3.140625" style="1" bestFit="1" customWidth="1"/>
    <col min="27" max="27" width="2.140625" style="1" bestFit="1" customWidth="1"/>
    <col min="28" max="28" width="11" style="1" bestFit="1" customWidth="1"/>
    <col min="29" max="30" width="10.85546875" style="1" bestFit="1" customWidth="1"/>
    <col min="31" max="33" width="9" style="36" bestFit="1" customWidth="1"/>
    <col min="34" max="34" width="8" style="36" bestFit="1" customWidth="1"/>
    <col min="35" max="35" width="2.7109375" style="1" customWidth="1"/>
    <col min="36" max="36" width="11.85546875" style="1" bestFit="1" customWidth="1"/>
    <col min="37" max="16384" width="11.42578125" style="1"/>
  </cols>
  <sheetData>
    <row r="1" spans="2:38" x14ac:dyDescent="0.25">
      <c r="F1" s="1"/>
      <c r="G1" s="1"/>
      <c r="Q1" s="1"/>
    </row>
    <row r="2" spans="2:38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24"/>
      <c r="R2" s="24"/>
      <c r="S2" s="24"/>
      <c r="T2" s="24"/>
      <c r="U2" s="24"/>
      <c r="V2" s="24"/>
      <c r="W2" s="24"/>
      <c r="X2" s="24"/>
      <c r="Y2" s="35"/>
    </row>
    <row r="3" spans="2:38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1" t="s">
        <v>22</v>
      </c>
      <c r="Q3" s="19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1" t="s">
        <v>30</v>
      </c>
      <c r="Y3" s="22"/>
      <c r="Z3" s="40" t="s">
        <v>40</v>
      </c>
      <c r="AA3" s="41"/>
      <c r="AB3" s="41"/>
      <c r="AC3" s="41"/>
      <c r="AD3" s="41"/>
      <c r="AE3" s="41"/>
      <c r="AF3" s="41"/>
      <c r="AG3" s="41"/>
      <c r="AH3" s="42"/>
      <c r="AJ3" s="40" t="s">
        <v>39</v>
      </c>
      <c r="AK3" s="41"/>
      <c r="AL3" s="42"/>
    </row>
    <row r="4" spans="2:38" x14ac:dyDescent="0.25">
      <c r="E4" s="25">
        <f>IFERROR(IF($C$18&gt;0,1," "),"")</f>
        <v>1</v>
      </c>
      <c r="F4" s="26" t="str">
        <f>IFERROR(IF(C18&gt;0,TEXT(IF($E$4&gt;0,C18," "),"DD/MM/YYYY")," "),"")</f>
        <v>02/12/2019</v>
      </c>
      <c r="G4" s="27">
        <f>IFERROR(IF(E4=" "," ",F4-$C$11),"")</f>
        <v>-272</v>
      </c>
      <c r="H4" s="28">
        <f t="shared" ref="H4:H67" si="0">IFERROR(IF(E4=" "," ",IF($E4&lt;=$C$16,$G4*$C$14/IF(DAY(DATE(MID(F4,7,4),3,0))=29,366,365),$G4*$C$15/IF(DAY(DATE(MID(F4,7,4),3,0))=29,366,365))),"")</f>
        <v>-0.11916729863013698</v>
      </c>
      <c r="I4" s="3">
        <f>IFERROR(IF(E4=" "," ",J1+H4+(J1*H4)),"")</f>
        <v>-0.11916729863013698</v>
      </c>
      <c r="J4" s="3">
        <f t="shared" ref="J4:J67" si="1">IFERROR(IF($C$18=" "," ",1/(1+I4))," ")</f>
        <v>1.1352893670328192</v>
      </c>
      <c r="K4" s="3">
        <f>IFERROR(IF($C$18=" "," ",L1+J4),"")</f>
        <v>1.1352893670328192</v>
      </c>
      <c r="L4" s="30">
        <f t="shared" ref="L4:L63" si="2">IFERROR(TRUNC(IF($C$18=" "," ",$C$13/K4),2),"")</f>
        <v>636.84</v>
      </c>
      <c r="M4" s="29">
        <f>IFERROR(IF(C13&gt;0,C13," "),"")</f>
        <v>723</v>
      </c>
      <c r="N4" s="29">
        <f>IFERROR(IF(AND(Q2="N",Q4="Y"),SUM(W4:X4),IF(AND(Q2="Y",Q4="N"),SUM(W4:X4),TRUNC((M4+(0*(-1)))*(H4)+(0*(-1)),2))),"")</f>
        <v>-86.15</v>
      </c>
      <c r="O4" s="29">
        <f t="shared" ref="O4:O67" si="3">IFERROR(IF($C$17=E4,M4,TRUNC($C$19-N4,2)),"")</f>
        <v>118.56</v>
      </c>
      <c r="P4" s="29">
        <f t="shared" ref="P4:P67" si="4">IF(TRUNC(SUM(N4:O4),2)&lt;=0,"",TRUNC(SUM(N4:O4),2))</f>
        <v>32.409999999999997</v>
      </c>
      <c r="Q4" s="23" t="str">
        <f t="shared" ref="Q4:Q35" si="5">IFERROR(IF(IF(DAY(DATE(MID(F4,7,4),3,0))=29,366,365)=366,"Y","N"),"")</f>
        <v>N</v>
      </c>
      <c r="R4" s="5" t="str">
        <f>TEXT(IF(AND(Q2="N",Q4="Y"),EDATE($F$4,E4-2),IF(AND(Q2="Y",Q4="N"),EDATE($F$4,E4-2),"")),"DD/MM/YYYY")</f>
        <v/>
      </c>
      <c r="S4" s="5" t="str">
        <f>TEXT(IFERROR(DATE(YEAR(R4),12,31),""),"DD/MM/YYYY")</f>
        <v/>
      </c>
      <c r="T4" s="5" t="str">
        <f>TEXT(IFERROR(EDATE($R4,1),""),"DD/MM/YYYY")</f>
        <v/>
      </c>
      <c r="U4" s="4" t="str">
        <f t="shared" ref="U4:U35" si="6">IFERROR(IF(E4=" "," ",IF($E4&lt;=$C$16,SUM(S4-R4)*$C$14/IF(DAY(DATE(MID(S4,7,4),3,0))=29,366,365),SUM(S4-R4)*$C$15/IF(DAY(DATE(MID(S4,7,4),3,0))=29,366,365))),"")</f>
        <v/>
      </c>
      <c r="V4" s="6" t="str">
        <f t="shared" ref="V4:V35" si="7">IFERROR(IF(E4=" "," ",IF($E4&lt;=$C$16,SUM(T4-S4)*$C$14/IF(DAY(DATE(MID(T4,7,4),3,0))=29,366,365),SUM(T4-S4)*$C$15/IF(DAY(DATE(MID(T4,7,4),3,0))=29,366,365))),"")</f>
        <v/>
      </c>
      <c r="W4" s="22" t="str">
        <f t="shared" ref="W4:W35" si="8">IFERROR(TRUNC(U4*M4,2),"")</f>
        <v/>
      </c>
      <c r="X4" s="22" t="str">
        <f t="shared" ref="X4:X35" si="9">IFERROR(TRUNC(V4*M4,2),"")</f>
        <v/>
      </c>
      <c r="Y4" s="22"/>
      <c r="Z4" s="1">
        <v>1</v>
      </c>
      <c r="AA4" s="1">
        <v>1</v>
      </c>
      <c r="AB4" s="1" t="s">
        <v>38</v>
      </c>
      <c r="AC4" s="2">
        <v>43801</v>
      </c>
      <c r="AD4" s="2">
        <v>43780</v>
      </c>
      <c r="AE4" s="36">
        <v>35.25</v>
      </c>
      <c r="AF4" s="36">
        <v>28.6</v>
      </c>
      <c r="AG4" s="36">
        <v>6.65</v>
      </c>
      <c r="AJ4" s="34">
        <f t="shared" ref="AJ4:AJ27" si="10">AE4-P4</f>
        <v>2.8400000000000034</v>
      </c>
      <c r="AK4" s="34">
        <f t="shared" ref="AK4:AK27" si="11">AF4-O4</f>
        <v>-89.960000000000008</v>
      </c>
      <c r="AL4" s="34">
        <f t="shared" ref="AL4:AL27" si="12">N4-AG4</f>
        <v>-92.800000000000011</v>
      </c>
    </row>
    <row r="5" spans="2:38" x14ac:dyDescent="0.25">
      <c r="B5" s="37" t="s">
        <v>0</v>
      </c>
      <c r="C5" s="38"/>
      <c r="E5" s="25">
        <f t="shared" ref="E5:E68" si="13">IFERROR(IF($E4&lt;$C$17,E4+1," "),"")</f>
        <v>2</v>
      </c>
      <c r="F5" s="26" t="str">
        <f t="shared" ref="F5:F68" si="14">IFERROR(TEXT(IF($E5&lt;=$C$17,EDATE($F$4,E5 - 1)," "),"DD/MM/YYYY"),"")</f>
        <v>12/03/2019</v>
      </c>
      <c r="G5" s="27">
        <f t="shared" ref="G5:G68" si="15">IFERROR(IF(E5=" "," ",F5-F4),"")</f>
        <v>294</v>
      </c>
      <c r="H5" s="28">
        <f t="shared" si="0"/>
        <v>0.12880583013698629</v>
      </c>
      <c r="I5" s="3">
        <f t="shared" ref="I5:I68" si="16">IFERROR(IF(E5=" "," ",ROUND(I4+H5+(I4*H5),6)),"")</f>
        <v>-5.7109999999999999E-3</v>
      </c>
      <c r="J5" s="3">
        <f t="shared" si="1"/>
        <v>1.0057438028581227</v>
      </c>
      <c r="K5" s="3">
        <f t="shared" ref="K5:K68" si="17">IFERROR(IF($C$18=" "," ",K4+J5),"")</f>
        <v>2.1410331698909419</v>
      </c>
      <c r="L5" s="30">
        <f t="shared" si="2"/>
        <v>337.68</v>
      </c>
      <c r="M5" s="29">
        <f t="shared" ref="M5:M68" si="18">IFERROR(IF(IF($M4&gt;0,($M4-$O4)," ")&lt;=0,"",IF($M4&gt;0,($M4-$O4)," ")),"")</f>
        <v>604.44000000000005</v>
      </c>
      <c r="N5" s="29">
        <f>IFERROR(IF(AND(Q4="N",Q5="Y"),SUM(W5:X5),IF(AND(Q4="Y",Q5="N"),SUM(W5:X5),TRUNC((M5+(0*(-1)))*(H5)+(0*(-1)),2))),"")</f>
        <v>77.849999999999994</v>
      </c>
      <c r="O5" s="29">
        <f t="shared" si="3"/>
        <v>-45.44</v>
      </c>
      <c r="P5" s="29">
        <f t="shared" si="4"/>
        <v>32.409999999999997</v>
      </c>
      <c r="Q5" s="23" t="str">
        <f t="shared" si="5"/>
        <v>N</v>
      </c>
      <c r="R5" s="5" t="str">
        <f t="shared" ref="R5:R36" si="19">TEXT(IF(AND(Q4="N",Q5="Y"),EDATE($F$4,E5-2),IF(AND(Q4="Y",Q5="N"),EDATE($F$4,E5-2),"")),"DD/MM/YYYY")</f>
        <v/>
      </c>
      <c r="S5" s="5" t="str">
        <f t="shared" ref="S5:S68" si="20">TEXT(IFERROR(DATE(YEAR(R5),12,31),""),"DD/MM/YYYY")</f>
        <v/>
      </c>
      <c r="T5" s="5" t="str">
        <f t="shared" ref="T5:T68" si="21">TEXT(IFERROR(EDATE($R5,1),""),"DD/MM/YYYY")</f>
        <v/>
      </c>
      <c r="U5" s="4" t="str">
        <f t="shared" si="6"/>
        <v/>
      </c>
      <c r="V5" s="6" t="str">
        <f t="shared" si="7"/>
        <v/>
      </c>
      <c r="W5" s="22" t="str">
        <f t="shared" si="8"/>
        <v/>
      </c>
      <c r="X5" s="22" t="str">
        <f t="shared" si="9"/>
        <v/>
      </c>
      <c r="Y5" s="22"/>
      <c r="Z5" s="1">
        <v>2</v>
      </c>
      <c r="AA5" s="1">
        <v>1</v>
      </c>
      <c r="AB5" s="1" t="s">
        <v>38</v>
      </c>
      <c r="AC5" s="2">
        <v>43832</v>
      </c>
      <c r="AD5" s="2">
        <v>43780</v>
      </c>
      <c r="AE5" s="36">
        <v>35.25</v>
      </c>
      <c r="AF5" s="36">
        <v>25.83</v>
      </c>
      <c r="AG5" s="36">
        <v>9.42</v>
      </c>
      <c r="AJ5" s="34">
        <f t="shared" si="10"/>
        <v>2.8400000000000034</v>
      </c>
      <c r="AK5" s="34">
        <f t="shared" si="11"/>
        <v>71.27</v>
      </c>
      <c r="AL5" s="34">
        <f t="shared" si="12"/>
        <v>68.429999999999993</v>
      </c>
    </row>
    <row r="6" spans="2:38" x14ac:dyDescent="0.25">
      <c r="E6" s="25">
        <f t="shared" si="13"/>
        <v>3</v>
      </c>
      <c r="F6" s="26" t="str">
        <f t="shared" si="14"/>
        <v>12/04/2019</v>
      </c>
      <c r="G6" s="27">
        <f t="shared" si="15"/>
        <v>1</v>
      </c>
      <c r="H6" s="28">
        <f t="shared" si="0"/>
        <v>4.381150684931507E-4</v>
      </c>
      <c r="I6" s="3">
        <f t="shared" si="16"/>
        <v>-5.2750000000000002E-3</v>
      </c>
      <c r="J6" s="3">
        <f t="shared" si="1"/>
        <v>1.0053029731835432</v>
      </c>
      <c r="K6" s="3">
        <f t="shared" si="17"/>
        <v>3.1463361430744854</v>
      </c>
      <c r="L6" s="30">
        <f t="shared" si="2"/>
        <v>229.79</v>
      </c>
      <c r="M6" s="29">
        <f t="shared" si="18"/>
        <v>649.88000000000011</v>
      </c>
      <c r="N6" s="29">
        <f t="shared" ref="N6:N69" si="22">IFERROR(IF(AND(Q5="N",Q6="Y"),SUM(W6:X6),IF(AND(Q5="Y",Q6="N"),SUM(W6:X6),TRUNC((M6+(0*(-1)))*(H6)+(0*(-1)),2))),"")</f>
        <v>0.28000000000000003</v>
      </c>
      <c r="O6" s="29">
        <f t="shared" si="3"/>
        <v>32.130000000000003</v>
      </c>
      <c r="P6" s="29">
        <f t="shared" si="4"/>
        <v>32.409999999999997</v>
      </c>
      <c r="Q6" s="23" t="str">
        <f t="shared" si="5"/>
        <v>N</v>
      </c>
      <c r="R6" s="5" t="str">
        <f t="shared" si="19"/>
        <v/>
      </c>
      <c r="S6" s="5" t="str">
        <f t="shared" si="20"/>
        <v/>
      </c>
      <c r="T6" s="5" t="str">
        <f t="shared" si="21"/>
        <v/>
      </c>
      <c r="U6" s="4" t="str">
        <f t="shared" si="6"/>
        <v/>
      </c>
      <c r="V6" s="6" t="str">
        <f t="shared" si="7"/>
        <v/>
      </c>
      <c r="W6" s="22" t="str">
        <f t="shared" si="8"/>
        <v/>
      </c>
      <c r="X6" s="22" t="str">
        <f t="shared" si="9"/>
        <v/>
      </c>
      <c r="Y6" s="22"/>
      <c r="Z6" s="1">
        <v>3</v>
      </c>
      <c r="AA6" s="1">
        <v>1</v>
      </c>
      <c r="AB6" s="1" t="s">
        <v>38</v>
      </c>
      <c r="AC6" s="2">
        <v>43863</v>
      </c>
      <c r="AD6" s="2">
        <v>43780</v>
      </c>
      <c r="AE6" s="36">
        <v>35.25</v>
      </c>
      <c r="AF6" s="36">
        <v>26.2</v>
      </c>
      <c r="AG6" s="36">
        <v>9.0500000000000007</v>
      </c>
      <c r="AJ6" s="34">
        <f t="shared" si="10"/>
        <v>2.8400000000000034</v>
      </c>
      <c r="AK6" s="34">
        <f t="shared" si="11"/>
        <v>-5.9300000000000033</v>
      </c>
      <c r="AL6" s="34">
        <f t="shared" si="12"/>
        <v>-8.7700000000000014</v>
      </c>
    </row>
    <row r="7" spans="2:38" x14ac:dyDescent="0.25">
      <c r="B7" s="18" t="s">
        <v>16</v>
      </c>
      <c r="C7" s="17" t="s">
        <v>49</v>
      </c>
      <c r="E7" s="25">
        <f t="shared" si="13"/>
        <v>4</v>
      </c>
      <c r="F7" s="26" t="str">
        <f t="shared" si="14"/>
        <v>12/05/2019</v>
      </c>
      <c r="G7" s="27">
        <f t="shared" si="15"/>
        <v>1</v>
      </c>
      <c r="H7" s="28">
        <f t="shared" si="0"/>
        <v>4.381150684931507E-4</v>
      </c>
      <c r="I7" s="3">
        <f t="shared" si="16"/>
        <v>-4.8390000000000004E-3</v>
      </c>
      <c r="J7" s="3">
        <f t="shared" si="1"/>
        <v>1.0048625297816132</v>
      </c>
      <c r="K7" s="3">
        <f t="shared" si="17"/>
        <v>4.1511986728560988</v>
      </c>
      <c r="L7" s="30">
        <f t="shared" si="2"/>
        <v>174.16</v>
      </c>
      <c r="M7" s="29">
        <f t="shared" si="18"/>
        <v>617.75000000000011</v>
      </c>
      <c r="N7" s="29">
        <f t="shared" si="22"/>
        <v>0.27</v>
      </c>
      <c r="O7" s="29">
        <f t="shared" si="3"/>
        <v>32.14</v>
      </c>
      <c r="P7" s="29">
        <f t="shared" si="4"/>
        <v>32.409999999999997</v>
      </c>
      <c r="Q7" s="23" t="str">
        <f t="shared" si="5"/>
        <v>N</v>
      </c>
      <c r="R7" s="5" t="str">
        <f t="shared" si="19"/>
        <v/>
      </c>
      <c r="S7" s="5" t="str">
        <f t="shared" si="20"/>
        <v/>
      </c>
      <c r="T7" s="5" t="str">
        <f t="shared" si="21"/>
        <v/>
      </c>
      <c r="U7" s="4" t="str">
        <f t="shared" si="6"/>
        <v/>
      </c>
      <c r="V7" s="6" t="str">
        <f t="shared" si="7"/>
        <v/>
      </c>
      <c r="W7" s="22" t="str">
        <f t="shared" si="8"/>
        <v/>
      </c>
      <c r="X7" s="22" t="str">
        <f t="shared" si="9"/>
        <v/>
      </c>
      <c r="Y7" s="22"/>
      <c r="Z7" s="1">
        <v>4</v>
      </c>
      <c r="AA7" s="1">
        <v>1</v>
      </c>
      <c r="AB7" s="1" t="s">
        <v>38</v>
      </c>
      <c r="AC7" s="2">
        <v>43892</v>
      </c>
      <c r="AD7" s="2">
        <v>43780</v>
      </c>
      <c r="AE7" s="36">
        <v>35.25</v>
      </c>
      <c r="AF7" s="36">
        <v>27.12</v>
      </c>
      <c r="AG7" s="36">
        <v>8.1300000000000008</v>
      </c>
      <c r="AJ7" s="34">
        <f t="shared" si="10"/>
        <v>2.8400000000000034</v>
      </c>
      <c r="AK7" s="34">
        <f t="shared" si="11"/>
        <v>-5.0199999999999996</v>
      </c>
      <c r="AL7" s="34">
        <f t="shared" si="12"/>
        <v>-7.8600000000000012</v>
      </c>
    </row>
    <row r="8" spans="2:38" x14ac:dyDescent="0.25">
      <c r="E8" s="25">
        <f t="shared" si="13"/>
        <v>5</v>
      </c>
      <c r="F8" s="26" t="str">
        <f t="shared" si="14"/>
        <v>12/06/2019</v>
      </c>
      <c r="G8" s="27">
        <f t="shared" si="15"/>
        <v>1</v>
      </c>
      <c r="H8" s="28">
        <f t="shared" si="0"/>
        <v>4.381150684931507E-4</v>
      </c>
      <c r="I8" s="3">
        <f t="shared" si="16"/>
        <v>-4.4029999999999998E-3</v>
      </c>
      <c r="J8" s="3">
        <f t="shared" si="1"/>
        <v>1.0044224721448538</v>
      </c>
      <c r="K8" s="3">
        <f t="shared" si="17"/>
        <v>5.1556211450009526</v>
      </c>
      <c r="L8" s="30">
        <f t="shared" si="2"/>
        <v>140.22999999999999</v>
      </c>
      <c r="M8" s="29">
        <f t="shared" si="18"/>
        <v>585.61000000000013</v>
      </c>
      <c r="N8" s="29">
        <f t="shared" si="22"/>
        <v>0.25</v>
      </c>
      <c r="O8" s="29">
        <f t="shared" si="3"/>
        <v>32.159999999999997</v>
      </c>
      <c r="P8" s="29">
        <f t="shared" si="4"/>
        <v>32.409999999999997</v>
      </c>
      <c r="Q8" s="23" t="str">
        <f t="shared" si="5"/>
        <v>N</v>
      </c>
      <c r="R8" s="5" t="str">
        <f t="shared" si="19"/>
        <v/>
      </c>
      <c r="S8" s="5" t="str">
        <f t="shared" si="20"/>
        <v/>
      </c>
      <c r="T8" s="5" t="str">
        <f t="shared" si="21"/>
        <v/>
      </c>
      <c r="U8" s="4" t="str">
        <f t="shared" si="6"/>
        <v/>
      </c>
      <c r="V8" s="6" t="str">
        <f t="shared" si="7"/>
        <v/>
      </c>
      <c r="W8" s="22" t="str">
        <f t="shared" si="8"/>
        <v/>
      </c>
      <c r="X8" s="22" t="str">
        <f t="shared" si="9"/>
        <v/>
      </c>
      <c r="Y8" s="22"/>
      <c r="Z8" s="1">
        <v>5</v>
      </c>
      <c r="AA8" s="1">
        <v>1</v>
      </c>
      <c r="AB8" s="1" t="s">
        <v>38</v>
      </c>
      <c r="AC8" s="2">
        <v>43923</v>
      </c>
      <c r="AD8" s="2">
        <v>43780</v>
      </c>
      <c r="AE8" s="36">
        <v>35.25</v>
      </c>
      <c r="AF8" s="36">
        <v>26.92</v>
      </c>
      <c r="AG8" s="36">
        <v>8.33</v>
      </c>
      <c r="AJ8" s="34">
        <f t="shared" si="10"/>
        <v>2.8400000000000034</v>
      </c>
      <c r="AK8" s="34">
        <f t="shared" si="11"/>
        <v>-5.2399999999999949</v>
      </c>
      <c r="AL8" s="34">
        <f t="shared" si="12"/>
        <v>-8.08</v>
      </c>
    </row>
    <row r="9" spans="2:38" x14ac:dyDescent="0.25">
      <c r="B9" s="37" t="s">
        <v>15</v>
      </c>
      <c r="C9" s="38"/>
      <c r="E9" s="25">
        <f t="shared" si="13"/>
        <v>6</v>
      </c>
      <c r="F9" s="26" t="str">
        <f t="shared" si="14"/>
        <v>12/07/2019</v>
      </c>
      <c r="G9" s="27">
        <f t="shared" si="15"/>
        <v>1</v>
      </c>
      <c r="H9" s="28">
        <f t="shared" si="0"/>
        <v>4.381150684931507E-4</v>
      </c>
      <c r="I9" s="3">
        <f t="shared" si="16"/>
        <v>-3.967E-3</v>
      </c>
      <c r="J9" s="3">
        <f t="shared" si="1"/>
        <v>1.0039827997666744</v>
      </c>
      <c r="K9" s="3">
        <f t="shared" si="17"/>
        <v>6.1596039447676265</v>
      </c>
      <c r="L9" s="30">
        <f t="shared" si="2"/>
        <v>117.37</v>
      </c>
      <c r="M9" s="29">
        <f t="shared" si="18"/>
        <v>553.45000000000016</v>
      </c>
      <c r="N9" s="29">
        <f t="shared" si="22"/>
        <v>0.24</v>
      </c>
      <c r="O9" s="29">
        <f t="shared" si="3"/>
        <v>32.17</v>
      </c>
      <c r="P9" s="29">
        <f t="shared" si="4"/>
        <v>32.409999999999997</v>
      </c>
      <c r="Q9" s="23" t="str">
        <f t="shared" si="5"/>
        <v>N</v>
      </c>
      <c r="R9" s="5" t="str">
        <f t="shared" si="19"/>
        <v/>
      </c>
      <c r="S9" s="5" t="str">
        <f t="shared" si="20"/>
        <v/>
      </c>
      <c r="T9" s="5" t="str">
        <f t="shared" si="21"/>
        <v/>
      </c>
      <c r="U9" s="4" t="str">
        <f t="shared" si="6"/>
        <v/>
      </c>
      <c r="V9" s="6" t="str">
        <f t="shared" si="7"/>
        <v/>
      </c>
      <c r="W9" s="22" t="str">
        <f t="shared" si="8"/>
        <v/>
      </c>
      <c r="X9" s="22" t="str">
        <f t="shared" si="9"/>
        <v/>
      </c>
      <c r="Y9" s="22"/>
      <c r="Z9" s="1">
        <v>6</v>
      </c>
      <c r="AA9" s="1">
        <v>1</v>
      </c>
      <c r="AB9" s="1" t="s">
        <v>38</v>
      </c>
      <c r="AC9" s="2">
        <v>43953</v>
      </c>
      <c r="AD9" s="2">
        <v>43780</v>
      </c>
      <c r="AE9" s="36">
        <v>35.25</v>
      </c>
      <c r="AF9" s="36">
        <v>27.54</v>
      </c>
      <c r="AG9" s="36">
        <v>7.71</v>
      </c>
      <c r="AJ9" s="34">
        <f t="shared" si="10"/>
        <v>2.8400000000000034</v>
      </c>
      <c r="AK9" s="34">
        <f t="shared" si="11"/>
        <v>-4.6300000000000026</v>
      </c>
      <c r="AL9" s="34">
        <f t="shared" si="12"/>
        <v>-7.47</v>
      </c>
    </row>
    <row r="10" spans="2:38" x14ac:dyDescent="0.25">
      <c r="E10" s="25">
        <f t="shared" si="13"/>
        <v>7</v>
      </c>
      <c r="F10" s="26" t="str">
        <f t="shared" si="14"/>
        <v>12/08/2019</v>
      </c>
      <c r="G10" s="27">
        <f t="shared" si="15"/>
        <v>1</v>
      </c>
      <c r="H10" s="28">
        <f t="shared" si="0"/>
        <v>4.381150684931507E-4</v>
      </c>
      <c r="I10" s="3">
        <f t="shared" si="16"/>
        <v>-3.5309999999999999E-3</v>
      </c>
      <c r="J10" s="3">
        <f t="shared" si="1"/>
        <v>1.0035435121413712</v>
      </c>
      <c r="K10" s="3">
        <f t="shared" si="17"/>
        <v>7.1631474569089981</v>
      </c>
      <c r="L10" s="30">
        <f t="shared" si="2"/>
        <v>100.93</v>
      </c>
      <c r="M10" s="29">
        <f t="shared" si="18"/>
        <v>521.2800000000002</v>
      </c>
      <c r="N10" s="29">
        <f t="shared" si="22"/>
        <v>0.22</v>
      </c>
      <c r="O10" s="29">
        <f t="shared" si="3"/>
        <v>32.19</v>
      </c>
      <c r="P10" s="29">
        <f t="shared" si="4"/>
        <v>32.409999999999997</v>
      </c>
      <c r="Q10" s="23" t="str">
        <f t="shared" si="5"/>
        <v>N</v>
      </c>
      <c r="R10" s="5" t="str">
        <f t="shared" si="19"/>
        <v/>
      </c>
      <c r="S10" s="5" t="str">
        <f t="shared" si="20"/>
        <v/>
      </c>
      <c r="T10" s="5" t="str">
        <f t="shared" si="21"/>
        <v/>
      </c>
      <c r="U10" s="4" t="str">
        <f t="shared" si="6"/>
        <v/>
      </c>
      <c r="V10" s="6" t="str">
        <f t="shared" si="7"/>
        <v/>
      </c>
      <c r="W10" s="22" t="str">
        <f t="shared" si="8"/>
        <v/>
      </c>
      <c r="X10" s="22" t="str">
        <f t="shared" si="9"/>
        <v/>
      </c>
      <c r="Y10" s="22"/>
      <c r="Z10" s="1">
        <v>7</v>
      </c>
      <c r="AA10" s="1">
        <v>1</v>
      </c>
      <c r="AB10" s="1" t="s">
        <v>38</v>
      </c>
      <c r="AC10" s="2">
        <v>43984</v>
      </c>
      <c r="AD10" s="2">
        <v>43780</v>
      </c>
      <c r="AE10" s="36">
        <v>35.25</v>
      </c>
      <c r="AF10" s="36">
        <v>27.66</v>
      </c>
      <c r="AG10" s="36">
        <v>7.59</v>
      </c>
      <c r="AJ10" s="34">
        <f t="shared" si="10"/>
        <v>2.8400000000000034</v>
      </c>
      <c r="AK10" s="34">
        <f t="shared" si="11"/>
        <v>-4.5299999999999976</v>
      </c>
      <c r="AL10" s="34">
        <f t="shared" si="12"/>
        <v>-7.37</v>
      </c>
    </row>
    <row r="11" spans="2:38" x14ac:dyDescent="0.25">
      <c r="B11" s="16" t="s">
        <v>14</v>
      </c>
      <c r="C11" s="15">
        <v>43780</v>
      </c>
      <c r="E11" s="25">
        <f t="shared" si="13"/>
        <v>8</v>
      </c>
      <c r="F11" s="26" t="str">
        <f t="shared" si="14"/>
        <v>12/09/2019</v>
      </c>
      <c r="G11" s="27">
        <f t="shared" si="15"/>
        <v>1</v>
      </c>
      <c r="H11" s="28">
        <f t="shared" si="0"/>
        <v>4.381150684931507E-4</v>
      </c>
      <c r="I11" s="3">
        <f t="shared" si="16"/>
        <v>-3.094E-3</v>
      </c>
      <c r="J11" s="3">
        <f t="shared" si="1"/>
        <v>1.0031036025462783</v>
      </c>
      <c r="K11" s="3">
        <f t="shared" si="17"/>
        <v>8.1662510594552771</v>
      </c>
      <c r="L11" s="30">
        <f t="shared" si="2"/>
        <v>88.53</v>
      </c>
      <c r="M11" s="29">
        <f t="shared" si="18"/>
        <v>489.0900000000002</v>
      </c>
      <c r="N11" s="29">
        <f t="shared" si="22"/>
        <v>0.21</v>
      </c>
      <c r="O11" s="29">
        <f t="shared" si="3"/>
        <v>32.200000000000003</v>
      </c>
      <c r="P11" s="29">
        <f t="shared" si="4"/>
        <v>32.409999999999997</v>
      </c>
      <c r="Q11" s="23" t="str">
        <f t="shared" si="5"/>
        <v>N</v>
      </c>
      <c r="R11" s="5" t="str">
        <f t="shared" si="19"/>
        <v/>
      </c>
      <c r="S11" s="5" t="str">
        <f t="shared" si="20"/>
        <v/>
      </c>
      <c r="T11" s="5" t="str">
        <f t="shared" si="21"/>
        <v/>
      </c>
      <c r="U11" s="4" t="str">
        <f t="shared" si="6"/>
        <v/>
      </c>
      <c r="V11" s="6" t="str">
        <f t="shared" si="7"/>
        <v/>
      </c>
      <c r="W11" s="22" t="str">
        <f t="shared" si="8"/>
        <v/>
      </c>
      <c r="X11" s="22" t="str">
        <f t="shared" si="9"/>
        <v/>
      </c>
      <c r="Y11" s="22"/>
      <c r="Z11" s="1">
        <v>8</v>
      </c>
      <c r="AA11" s="1">
        <v>1</v>
      </c>
      <c r="AB11" s="1" t="s">
        <v>38</v>
      </c>
      <c r="AC11" s="2">
        <v>44014</v>
      </c>
      <c r="AD11" s="2">
        <v>43780</v>
      </c>
      <c r="AE11" s="36">
        <v>35.25</v>
      </c>
      <c r="AF11" s="36">
        <v>28.27</v>
      </c>
      <c r="AG11" s="36">
        <v>6.98</v>
      </c>
      <c r="AJ11" s="34">
        <f t="shared" si="10"/>
        <v>2.8400000000000034</v>
      </c>
      <c r="AK11" s="34">
        <f t="shared" si="11"/>
        <v>-3.9300000000000033</v>
      </c>
      <c r="AL11" s="34">
        <f t="shared" si="12"/>
        <v>-6.7700000000000005</v>
      </c>
    </row>
    <row r="12" spans="2:38" x14ac:dyDescent="0.25">
      <c r="B12" s="11" t="s">
        <v>33</v>
      </c>
      <c r="C12" s="32" t="s">
        <v>47</v>
      </c>
      <c r="E12" s="25">
        <f t="shared" si="13"/>
        <v>9</v>
      </c>
      <c r="F12" s="26" t="str">
        <f t="shared" si="14"/>
        <v>12/10/2019</v>
      </c>
      <c r="G12" s="27">
        <f t="shared" si="15"/>
        <v>1</v>
      </c>
      <c r="H12" s="28">
        <f t="shared" si="0"/>
        <v>4.381150684931507E-4</v>
      </c>
      <c r="I12" s="3">
        <f t="shared" si="16"/>
        <v>-2.6570000000000001E-3</v>
      </c>
      <c r="J12" s="3">
        <f t="shared" si="1"/>
        <v>1.0026640784564589</v>
      </c>
      <c r="K12" s="3">
        <f t="shared" si="17"/>
        <v>9.1689151379117355</v>
      </c>
      <c r="L12" s="30">
        <f t="shared" si="2"/>
        <v>78.849999999999994</v>
      </c>
      <c r="M12" s="29">
        <f t="shared" si="18"/>
        <v>456.89000000000021</v>
      </c>
      <c r="N12" s="29">
        <f t="shared" si="22"/>
        <v>0.2</v>
      </c>
      <c r="O12" s="29">
        <f t="shared" si="3"/>
        <v>32.21</v>
      </c>
      <c r="P12" s="29">
        <f t="shared" si="4"/>
        <v>32.409999999999997</v>
      </c>
      <c r="Q12" s="23" t="str">
        <f t="shared" si="5"/>
        <v>N</v>
      </c>
      <c r="R12" s="5" t="str">
        <f t="shared" si="19"/>
        <v/>
      </c>
      <c r="S12" s="5" t="str">
        <f t="shared" si="20"/>
        <v/>
      </c>
      <c r="T12" s="5" t="str">
        <f t="shared" si="21"/>
        <v/>
      </c>
      <c r="U12" s="4" t="str">
        <f t="shared" si="6"/>
        <v/>
      </c>
      <c r="V12" s="6" t="str">
        <f t="shared" si="7"/>
        <v/>
      </c>
      <c r="W12" s="22" t="str">
        <f t="shared" si="8"/>
        <v/>
      </c>
      <c r="X12" s="22" t="str">
        <f t="shared" si="9"/>
        <v/>
      </c>
      <c r="Y12" s="22"/>
      <c r="Z12" s="1">
        <v>9</v>
      </c>
      <c r="AA12" s="1">
        <v>1</v>
      </c>
      <c r="AB12" s="1" t="s">
        <v>38</v>
      </c>
      <c r="AC12" s="2">
        <v>44045</v>
      </c>
      <c r="AD12" s="2">
        <v>43780</v>
      </c>
      <c r="AE12" s="36">
        <v>35.25</v>
      </c>
      <c r="AF12" s="36">
        <v>28.42</v>
      </c>
      <c r="AG12" s="36">
        <v>6.83</v>
      </c>
      <c r="AJ12" s="34">
        <f t="shared" si="10"/>
        <v>2.8400000000000034</v>
      </c>
      <c r="AK12" s="34">
        <f t="shared" si="11"/>
        <v>-3.7899999999999991</v>
      </c>
      <c r="AL12" s="34">
        <f t="shared" si="12"/>
        <v>-6.63</v>
      </c>
    </row>
    <row r="13" spans="2:38" x14ac:dyDescent="0.25">
      <c r="B13" s="11" t="s">
        <v>13</v>
      </c>
      <c r="C13" s="14">
        <v>723</v>
      </c>
      <c r="E13" s="25">
        <f t="shared" si="13"/>
        <v>10</v>
      </c>
      <c r="F13" s="26" t="str">
        <f t="shared" si="14"/>
        <v>12/11/2019</v>
      </c>
      <c r="G13" s="27">
        <f t="shared" si="15"/>
        <v>1</v>
      </c>
      <c r="H13" s="28">
        <f t="shared" si="0"/>
        <v>4.381150684931507E-4</v>
      </c>
      <c r="I13" s="3">
        <f t="shared" si="16"/>
        <v>-2.2200000000000002E-3</v>
      </c>
      <c r="J13" s="3">
        <f t="shared" si="1"/>
        <v>1.0022249393653913</v>
      </c>
      <c r="K13" s="3">
        <f t="shared" si="17"/>
        <v>10.171140077277126</v>
      </c>
      <c r="L13" s="30">
        <f t="shared" si="2"/>
        <v>71.08</v>
      </c>
      <c r="M13" s="29">
        <f t="shared" si="18"/>
        <v>424.68000000000023</v>
      </c>
      <c r="N13" s="29">
        <f t="shared" si="22"/>
        <v>0.18</v>
      </c>
      <c r="O13" s="29">
        <f t="shared" si="3"/>
        <v>32.229999999999997</v>
      </c>
      <c r="P13" s="29">
        <f t="shared" si="4"/>
        <v>32.409999999999997</v>
      </c>
      <c r="Q13" s="23" t="str">
        <f t="shared" si="5"/>
        <v>N</v>
      </c>
      <c r="R13" s="5" t="str">
        <f t="shared" si="19"/>
        <v/>
      </c>
      <c r="S13" s="5" t="str">
        <f t="shared" si="20"/>
        <v/>
      </c>
      <c r="T13" s="5" t="str">
        <f t="shared" si="21"/>
        <v/>
      </c>
      <c r="U13" s="4" t="str">
        <f t="shared" si="6"/>
        <v/>
      </c>
      <c r="V13" s="6" t="str">
        <f t="shared" si="7"/>
        <v/>
      </c>
      <c r="W13" s="22" t="str">
        <f t="shared" si="8"/>
        <v/>
      </c>
      <c r="X13" s="22" t="str">
        <f t="shared" si="9"/>
        <v/>
      </c>
      <c r="Y13" s="22"/>
      <c r="Z13" s="1">
        <v>10</v>
      </c>
      <c r="AA13" s="1">
        <v>1</v>
      </c>
      <c r="AB13" s="1" t="s">
        <v>38</v>
      </c>
      <c r="AC13" s="2">
        <v>44076</v>
      </c>
      <c r="AD13" s="2">
        <v>43780</v>
      </c>
      <c r="AE13" s="36">
        <v>35.25</v>
      </c>
      <c r="AF13" s="36">
        <v>28.8</v>
      </c>
      <c r="AG13" s="36">
        <v>6.45</v>
      </c>
      <c r="AJ13" s="34">
        <f t="shared" si="10"/>
        <v>2.8400000000000034</v>
      </c>
      <c r="AK13" s="34">
        <f t="shared" si="11"/>
        <v>-3.4299999999999962</v>
      </c>
      <c r="AL13" s="34">
        <f t="shared" si="12"/>
        <v>-6.2700000000000005</v>
      </c>
    </row>
    <row r="14" spans="2:38" x14ac:dyDescent="0.25">
      <c r="B14" s="11" t="s">
        <v>12</v>
      </c>
      <c r="C14" s="13">
        <f>1.3326%*12</f>
        <v>0.159912</v>
      </c>
      <c r="E14" s="25">
        <f t="shared" si="13"/>
        <v>11</v>
      </c>
      <c r="F14" s="26" t="str">
        <f t="shared" si="14"/>
        <v>12/12/2019</v>
      </c>
      <c r="G14" s="27">
        <f t="shared" si="15"/>
        <v>1</v>
      </c>
      <c r="H14" s="28">
        <f t="shared" si="0"/>
        <v>4.381150684931507E-4</v>
      </c>
      <c r="I14" s="3">
        <f t="shared" si="16"/>
        <v>-1.7830000000000001E-3</v>
      </c>
      <c r="J14" s="3">
        <f t="shared" si="1"/>
        <v>1.0017861847674403</v>
      </c>
      <c r="K14" s="3">
        <f t="shared" si="17"/>
        <v>11.172926262044566</v>
      </c>
      <c r="L14" s="30">
        <f t="shared" si="2"/>
        <v>64.7</v>
      </c>
      <c r="M14" s="29">
        <f t="shared" si="18"/>
        <v>392.45000000000022</v>
      </c>
      <c r="N14" s="29">
        <f t="shared" si="22"/>
        <v>0.17</v>
      </c>
      <c r="O14" s="29">
        <f t="shared" si="3"/>
        <v>32.24</v>
      </c>
      <c r="P14" s="29">
        <f t="shared" si="4"/>
        <v>32.409999999999997</v>
      </c>
      <c r="Q14" s="23" t="str">
        <f t="shared" si="5"/>
        <v>N</v>
      </c>
      <c r="R14" s="5" t="str">
        <f t="shared" si="19"/>
        <v/>
      </c>
      <c r="S14" s="5" t="str">
        <f t="shared" si="20"/>
        <v/>
      </c>
      <c r="T14" s="5" t="str">
        <f t="shared" si="21"/>
        <v/>
      </c>
      <c r="U14" s="4" t="str">
        <f t="shared" si="6"/>
        <v/>
      </c>
      <c r="V14" s="6" t="str">
        <f t="shared" si="7"/>
        <v/>
      </c>
      <c r="W14" s="22" t="str">
        <f t="shared" si="8"/>
        <v/>
      </c>
      <c r="X14" s="22" t="str">
        <f t="shared" si="9"/>
        <v/>
      </c>
      <c r="Y14" s="22"/>
      <c r="Z14" s="1">
        <v>11</v>
      </c>
      <c r="AA14" s="1">
        <v>1</v>
      </c>
      <c r="AB14" s="1" t="s">
        <v>38</v>
      </c>
      <c r="AC14" s="2">
        <v>44106</v>
      </c>
      <c r="AD14" s="2">
        <v>43780</v>
      </c>
      <c r="AE14" s="36">
        <v>35.25</v>
      </c>
      <c r="AF14" s="36">
        <v>29.39</v>
      </c>
      <c r="AG14" s="36">
        <v>5.86</v>
      </c>
      <c r="AJ14" s="34">
        <f t="shared" si="10"/>
        <v>2.8400000000000034</v>
      </c>
      <c r="AK14" s="34">
        <f t="shared" si="11"/>
        <v>-2.8500000000000014</v>
      </c>
      <c r="AL14" s="34">
        <f t="shared" si="12"/>
        <v>-5.69</v>
      </c>
    </row>
    <row r="15" spans="2:38" x14ac:dyDescent="0.25">
      <c r="B15" s="11" t="s">
        <v>11</v>
      </c>
      <c r="C15" s="13">
        <f>1.3325%*12</f>
        <v>0.15989999999999999</v>
      </c>
      <c r="E15" s="25">
        <f t="shared" si="13"/>
        <v>12</v>
      </c>
      <c r="F15" s="26" t="str">
        <f t="shared" si="14"/>
        <v>12/01/2020</v>
      </c>
      <c r="G15" s="27">
        <f t="shared" si="15"/>
        <v>355</v>
      </c>
      <c r="H15" s="28">
        <f t="shared" si="0"/>
        <v>0.15510590163934426</v>
      </c>
      <c r="I15" s="3">
        <f t="shared" si="16"/>
        <v>0.15304599999999999</v>
      </c>
      <c r="J15" s="3">
        <f t="shared" si="1"/>
        <v>0.86726808817688106</v>
      </c>
      <c r="K15" s="3">
        <f t="shared" si="17"/>
        <v>12.040194350221448</v>
      </c>
      <c r="L15" s="30">
        <f t="shared" si="2"/>
        <v>60.04</v>
      </c>
      <c r="M15" s="29">
        <f t="shared" si="18"/>
        <v>360.21000000000021</v>
      </c>
      <c r="N15" s="29">
        <f t="shared" si="22"/>
        <v>0</v>
      </c>
      <c r="O15" s="29">
        <f t="shared" si="3"/>
        <v>32.409999999999997</v>
      </c>
      <c r="P15" s="29">
        <f t="shared" si="4"/>
        <v>32.409999999999997</v>
      </c>
      <c r="Q15" s="23" t="str">
        <f t="shared" si="5"/>
        <v>Y</v>
      </c>
      <c r="R15" s="5" t="str">
        <f t="shared" si="19"/>
        <v>12/12/2019</v>
      </c>
      <c r="S15" s="5" t="str">
        <f t="shared" si="20"/>
        <v>31/12/2019</v>
      </c>
      <c r="T15" s="5" t="str">
        <f t="shared" si="21"/>
        <v>12/01/2020</v>
      </c>
      <c r="U15" s="4" t="str">
        <f t="shared" si="6"/>
        <v/>
      </c>
      <c r="V15" s="6" t="str">
        <f t="shared" si="7"/>
        <v/>
      </c>
      <c r="W15" s="22" t="str">
        <f t="shared" si="8"/>
        <v/>
      </c>
      <c r="X15" s="22" t="str">
        <f t="shared" si="9"/>
        <v/>
      </c>
      <c r="Y15" s="22"/>
      <c r="Z15" s="1">
        <v>12</v>
      </c>
      <c r="AA15" s="1">
        <v>1</v>
      </c>
      <c r="AB15" s="1" t="s">
        <v>38</v>
      </c>
      <c r="AC15" s="2">
        <v>44137</v>
      </c>
      <c r="AD15" s="2">
        <v>43780</v>
      </c>
      <c r="AE15" s="36">
        <v>35.25</v>
      </c>
      <c r="AF15" s="36">
        <v>29.59</v>
      </c>
      <c r="AG15" s="36">
        <v>5.66</v>
      </c>
      <c r="AJ15" s="34">
        <f t="shared" si="10"/>
        <v>2.8400000000000034</v>
      </c>
      <c r="AK15" s="34">
        <f t="shared" si="11"/>
        <v>-2.8199999999999967</v>
      </c>
      <c r="AL15" s="34">
        <f t="shared" si="12"/>
        <v>-5.66</v>
      </c>
    </row>
    <row r="16" spans="2:38" x14ac:dyDescent="0.25">
      <c r="B16" s="11" t="s">
        <v>10</v>
      </c>
      <c r="C16" s="12">
        <v>24</v>
      </c>
      <c r="E16" s="25">
        <f t="shared" si="13"/>
        <v>13</v>
      </c>
      <c r="F16" s="26" t="str">
        <f t="shared" si="14"/>
        <v>12/02/2020</v>
      </c>
      <c r="G16" s="27">
        <f t="shared" si="15"/>
        <v>1</v>
      </c>
      <c r="H16" s="28">
        <f t="shared" si="0"/>
        <v>4.3691803278688525E-4</v>
      </c>
      <c r="I16" s="3">
        <f t="shared" si="16"/>
        <v>0.15354999999999999</v>
      </c>
      <c r="J16" s="3">
        <f t="shared" si="1"/>
        <v>0.86688916821984308</v>
      </c>
      <c r="K16" s="3">
        <f t="shared" si="17"/>
        <v>12.907083518441292</v>
      </c>
      <c r="L16" s="30">
        <f t="shared" si="2"/>
        <v>56.01</v>
      </c>
      <c r="M16" s="29">
        <f t="shared" si="18"/>
        <v>327.80000000000018</v>
      </c>
      <c r="N16" s="29">
        <f t="shared" si="22"/>
        <v>0.14000000000000001</v>
      </c>
      <c r="O16" s="29">
        <f t="shared" si="3"/>
        <v>32.270000000000003</v>
      </c>
      <c r="P16" s="29">
        <f t="shared" si="4"/>
        <v>32.409999999999997</v>
      </c>
      <c r="Q16" s="23" t="str">
        <f t="shared" si="5"/>
        <v>Y</v>
      </c>
      <c r="R16" s="5" t="str">
        <f t="shared" si="19"/>
        <v/>
      </c>
      <c r="S16" s="5" t="str">
        <f t="shared" si="20"/>
        <v/>
      </c>
      <c r="T16" s="5" t="str">
        <f t="shared" si="21"/>
        <v/>
      </c>
      <c r="U16" s="4" t="str">
        <f t="shared" si="6"/>
        <v/>
      </c>
      <c r="V16" s="6" t="str">
        <f t="shared" si="7"/>
        <v/>
      </c>
      <c r="W16" s="22" t="str">
        <f t="shared" si="8"/>
        <v/>
      </c>
      <c r="X16" s="22" t="str">
        <f t="shared" si="9"/>
        <v/>
      </c>
      <c r="Y16" s="22"/>
      <c r="Z16" s="1">
        <v>13</v>
      </c>
      <c r="AA16" s="1">
        <v>1</v>
      </c>
      <c r="AB16" s="1" t="s">
        <v>38</v>
      </c>
      <c r="AC16" s="2">
        <v>44167</v>
      </c>
      <c r="AD16" s="2">
        <v>43780</v>
      </c>
      <c r="AE16" s="36">
        <v>35.25</v>
      </c>
      <c r="AF16" s="36">
        <v>30.16</v>
      </c>
      <c r="AG16" s="36">
        <v>5.09</v>
      </c>
      <c r="AJ16" s="34">
        <f t="shared" si="10"/>
        <v>2.8400000000000034</v>
      </c>
      <c r="AK16" s="34">
        <f t="shared" si="11"/>
        <v>-2.110000000000003</v>
      </c>
      <c r="AL16" s="34">
        <f t="shared" si="12"/>
        <v>-4.95</v>
      </c>
    </row>
    <row r="17" spans="2:38" x14ac:dyDescent="0.25">
      <c r="B17" s="11" t="s">
        <v>9</v>
      </c>
      <c r="C17" s="12">
        <v>24</v>
      </c>
      <c r="E17" s="25">
        <f t="shared" si="13"/>
        <v>14</v>
      </c>
      <c r="F17" s="26" t="str">
        <f t="shared" si="14"/>
        <v>12/03/2020</v>
      </c>
      <c r="G17" s="27">
        <f t="shared" si="15"/>
        <v>1</v>
      </c>
      <c r="H17" s="28">
        <f t="shared" si="0"/>
        <v>4.3691803278688525E-4</v>
      </c>
      <c r="I17" s="3">
        <f t="shared" si="16"/>
        <v>0.154054</v>
      </c>
      <c r="J17" s="3">
        <f t="shared" si="1"/>
        <v>0.86651057922766184</v>
      </c>
      <c r="K17" s="3">
        <f t="shared" si="17"/>
        <v>13.773594097668953</v>
      </c>
      <c r="L17" s="30">
        <f t="shared" si="2"/>
        <v>52.49</v>
      </c>
      <c r="M17" s="29">
        <f t="shared" si="18"/>
        <v>295.5300000000002</v>
      </c>
      <c r="N17" s="29">
        <f t="shared" si="22"/>
        <v>0.12</v>
      </c>
      <c r="O17" s="29">
        <f t="shared" si="3"/>
        <v>32.29</v>
      </c>
      <c r="P17" s="29">
        <f t="shared" si="4"/>
        <v>32.409999999999997</v>
      </c>
      <c r="Q17" s="23" t="str">
        <f t="shared" si="5"/>
        <v>Y</v>
      </c>
      <c r="R17" s="5" t="str">
        <f t="shared" si="19"/>
        <v/>
      </c>
      <c r="S17" s="5" t="str">
        <f t="shared" si="20"/>
        <v/>
      </c>
      <c r="T17" s="5" t="str">
        <f t="shared" si="21"/>
        <v/>
      </c>
      <c r="U17" s="4" t="str">
        <f t="shared" si="6"/>
        <v/>
      </c>
      <c r="V17" s="6" t="str">
        <f t="shared" si="7"/>
        <v/>
      </c>
      <c r="W17" s="22" t="str">
        <f t="shared" si="8"/>
        <v/>
      </c>
      <c r="X17" s="22" t="str">
        <f t="shared" si="9"/>
        <v/>
      </c>
      <c r="Y17" s="22"/>
      <c r="Z17" s="1">
        <v>14</v>
      </c>
      <c r="AA17" s="1">
        <v>1</v>
      </c>
      <c r="AB17" s="1" t="s">
        <v>38</v>
      </c>
      <c r="AC17" s="2">
        <v>44198</v>
      </c>
      <c r="AD17" s="2">
        <v>43780</v>
      </c>
      <c r="AE17" s="36">
        <v>35.25</v>
      </c>
      <c r="AF17" s="36">
        <v>30.4</v>
      </c>
      <c r="AG17" s="36">
        <v>4.8499999999999996</v>
      </c>
      <c r="AJ17" s="34">
        <f t="shared" si="10"/>
        <v>2.8400000000000034</v>
      </c>
      <c r="AK17" s="34">
        <f t="shared" si="11"/>
        <v>-1.8900000000000006</v>
      </c>
      <c r="AL17" s="34">
        <f t="shared" si="12"/>
        <v>-4.7299999999999995</v>
      </c>
    </row>
    <row r="18" spans="2:38" x14ac:dyDescent="0.25">
      <c r="B18" s="11" t="s">
        <v>8</v>
      </c>
      <c r="C18" s="10">
        <v>43801</v>
      </c>
      <c r="E18" s="25">
        <f t="shared" si="13"/>
        <v>15</v>
      </c>
      <c r="F18" s="26" t="str">
        <f t="shared" si="14"/>
        <v>12/04/2020</v>
      </c>
      <c r="G18" s="27">
        <f t="shared" si="15"/>
        <v>1</v>
      </c>
      <c r="H18" s="28">
        <f t="shared" si="0"/>
        <v>4.3691803278688525E-4</v>
      </c>
      <c r="I18" s="3">
        <f t="shared" si="16"/>
        <v>0.154558</v>
      </c>
      <c r="J18" s="3">
        <f t="shared" si="1"/>
        <v>0.86613232076690827</v>
      </c>
      <c r="K18" s="3">
        <f t="shared" si="17"/>
        <v>14.639726418435862</v>
      </c>
      <c r="L18" s="30">
        <f t="shared" si="2"/>
        <v>49.38</v>
      </c>
      <c r="M18" s="29">
        <f t="shared" si="18"/>
        <v>263.24000000000018</v>
      </c>
      <c r="N18" s="29">
        <f t="shared" si="22"/>
        <v>0.11</v>
      </c>
      <c r="O18" s="29">
        <f t="shared" si="3"/>
        <v>32.299999999999997</v>
      </c>
      <c r="P18" s="29">
        <f t="shared" si="4"/>
        <v>32.409999999999997</v>
      </c>
      <c r="Q18" s="23" t="str">
        <f t="shared" si="5"/>
        <v>Y</v>
      </c>
      <c r="R18" s="5" t="str">
        <f t="shared" si="19"/>
        <v/>
      </c>
      <c r="S18" s="5" t="str">
        <f t="shared" si="20"/>
        <v/>
      </c>
      <c r="T18" s="5" t="str">
        <f t="shared" si="21"/>
        <v/>
      </c>
      <c r="U18" s="4" t="str">
        <f t="shared" si="6"/>
        <v/>
      </c>
      <c r="V18" s="6" t="str">
        <f t="shared" si="7"/>
        <v/>
      </c>
      <c r="W18" s="22" t="str">
        <f t="shared" si="8"/>
        <v/>
      </c>
      <c r="X18" s="22" t="str">
        <f t="shared" si="9"/>
        <v/>
      </c>
      <c r="Y18" s="22"/>
      <c r="Z18" s="1">
        <v>15</v>
      </c>
      <c r="AA18" s="1">
        <v>1</v>
      </c>
      <c r="AB18" s="1" t="s">
        <v>38</v>
      </c>
      <c r="AC18" s="2">
        <v>44229</v>
      </c>
      <c r="AD18" s="2">
        <v>43780</v>
      </c>
      <c r="AE18" s="36">
        <v>35.25</v>
      </c>
      <c r="AF18" s="36">
        <v>30.8</v>
      </c>
      <c r="AG18" s="36">
        <v>4.45</v>
      </c>
      <c r="AJ18" s="34">
        <f t="shared" si="10"/>
        <v>2.8400000000000034</v>
      </c>
      <c r="AK18" s="34">
        <f t="shared" si="11"/>
        <v>-1.4999999999999964</v>
      </c>
      <c r="AL18" s="34">
        <f t="shared" si="12"/>
        <v>-4.34</v>
      </c>
    </row>
    <row r="19" spans="2:38" x14ac:dyDescent="0.25">
      <c r="B19" s="9" t="s">
        <v>7</v>
      </c>
      <c r="C19" s="8">
        <f>IFERROR(TRUNC(VLOOKUP($C$17,$E$4:$L$69,8),2),"")</f>
        <v>32.409999999999997</v>
      </c>
      <c r="E19" s="25">
        <f t="shared" si="13"/>
        <v>16</v>
      </c>
      <c r="F19" s="26" t="str">
        <f t="shared" si="14"/>
        <v>12/05/2020</v>
      </c>
      <c r="G19" s="27">
        <f t="shared" si="15"/>
        <v>1</v>
      </c>
      <c r="H19" s="28">
        <f t="shared" si="0"/>
        <v>4.3691803278688525E-4</v>
      </c>
      <c r="I19" s="3">
        <f t="shared" si="16"/>
        <v>0.15506200000000001</v>
      </c>
      <c r="J19" s="3">
        <f t="shared" si="1"/>
        <v>0.86575439240490981</v>
      </c>
      <c r="K19" s="3">
        <f t="shared" si="17"/>
        <v>15.505480810840771</v>
      </c>
      <c r="L19" s="30">
        <f t="shared" si="2"/>
        <v>46.62</v>
      </c>
      <c r="M19" s="29">
        <f t="shared" si="18"/>
        <v>230.94000000000017</v>
      </c>
      <c r="N19" s="29">
        <f t="shared" si="22"/>
        <v>0.1</v>
      </c>
      <c r="O19" s="29">
        <f t="shared" si="3"/>
        <v>32.31</v>
      </c>
      <c r="P19" s="29">
        <f t="shared" si="4"/>
        <v>32.409999999999997</v>
      </c>
      <c r="Q19" s="23" t="str">
        <f t="shared" si="5"/>
        <v>Y</v>
      </c>
      <c r="R19" s="5" t="str">
        <f t="shared" si="19"/>
        <v/>
      </c>
      <c r="S19" s="5" t="str">
        <f t="shared" si="20"/>
        <v/>
      </c>
      <c r="T19" s="5" t="str">
        <f t="shared" si="21"/>
        <v/>
      </c>
      <c r="U19" s="4" t="str">
        <f t="shared" si="6"/>
        <v/>
      </c>
      <c r="V19" s="6" t="str">
        <f t="shared" si="7"/>
        <v/>
      </c>
      <c r="W19" s="22" t="str">
        <f t="shared" si="8"/>
        <v/>
      </c>
      <c r="X19" s="22" t="str">
        <f t="shared" si="9"/>
        <v/>
      </c>
      <c r="Y19" s="22"/>
      <c r="Z19" s="1">
        <v>16</v>
      </c>
      <c r="AA19" s="1">
        <v>1</v>
      </c>
      <c r="AB19" s="1" t="s">
        <v>38</v>
      </c>
      <c r="AC19" s="2">
        <v>44257</v>
      </c>
      <c r="AD19" s="2">
        <v>43780</v>
      </c>
      <c r="AE19" s="36">
        <v>35.25</v>
      </c>
      <c r="AF19" s="36">
        <v>31.61</v>
      </c>
      <c r="AG19" s="36">
        <v>3.64</v>
      </c>
      <c r="AJ19" s="34">
        <f t="shared" si="10"/>
        <v>2.8400000000000034</v>
      </c>
      <c r="AK19" s="34">
        <f t="shared" si="11"/>
        <v>-0.70000000000000284</v>
      </c>
      <c r="AL19" s="34">
        <f t="shared" si="12"/>
        <v>-3.54</v>
      </c>
    </row>
    <row r="20" spans="2:38" x14ac:dyDescent="0.25">
      <c r="E20" s="25">
        <f t="shared" si="13"/>
        <v>17</v>
      </c>
      <c r="F20" s="26" t="str">
        <f t="shared" si="14"/>
        <v>12/06/2020</v>
      </c>
      <c r="G20" s="27">
        <f t="shared" si="15"/>
        <v>1</v>
      </c>
      <c r="H20" s="28">
        <f t="shared" si="0"/>
        <v>4.3691803278688525E-4</v>
      </c>
      <c r="I20" s="3">
        <f t="shared" si="16"/>
        <v>0.15556700000000001</v>
      </c>
      <c r="J20" s="3">
        <f t="shared" si="1"/>
        <v>0.86537604483340214</v>
      </c>
      <c r="K20" s="3">
        <f t="shared" si="17"/>
        <v>16.370856855674173</v>
      </c>
      <c r="L20" s="30">
        <f t="shared" si="2"/>
        <v>44.16</v>
      </c>
      <c r="M20" s="29">
        <f t="shared" si="18"/>
        <v>198.63000000000017</v>
      </c>
      <c r="N20" s="29">
        <f t="shared" si="22"/>
        <v>0.08</v>
      </c>
      <c r="O20" s="29">
        <f t="shared" si="3"/>
        <v>32.33</v>
      </c>
      <c r="P20" s="29">
        <f t="shared" si="4"/>
        <v>32.409999999999997</v>
      </c>
      <c r="Q20" s="23" t="str">
        <f t="shared" si="5"/>
        <v>Y</v>
      </c>
      <c r="R20" s="5" t="str">
        <f t="shared" si="19"/>
        <v/>
      </c>
      <c r="S20" s="5" t="str">
        <f t="shared" si="20"/>
        <v/>
      </c>
      <c r="T20" s="5" t="str">
        <f t="shared" si="21"/>
        <v/>
      </c>
      <c r="U20" s="4" t="str">
        <f t="shared" si="6"/>
        <v/>
      </c>
      <c r="V20" s="6" t="str">
        <f t="shared" si="7"/>
        <v/>
      </c>
      <c r="W20" s="22" t="str">
        <f t="shared" si="8"/>
        <v/>
      </c>
      <c r="X20" s="22" t="str">
        <f t="shared" si="9"/>
        <v/>
      </c>
      <c r="Y20" s="22"/>
      <c r="Z20" s="1">
        <v>17</v>
      </c>
      <c r="AA20" s="1">
        <v>1</v>
      </c>
      <c r="AB20" s="1" t="s">
        <v>38</v>
      </c>
      <c r="AC20" s="2">
        <v>44288</v>
      </c>
      <c r="AD20" s="2">
        <v>43780</v>
      </c>
      <c r="AE20" s="36">
        <v>35.25</v>
      </c>
      <c r="AF20" s="36">
        <v>31.65</v>
      </c>
      <c r="AG20" s="36">
        <v>3.6</v>
      </c>
      <c r="AJ20" s="34">
        <f t="shared" si="10"/>
        <v>2.8400000000000034</v>
      </c>
      <c r="AK20" s="34">
        <f t="shared" si="11"/>
        <v>-0.67999999999999972</v>
      </c>
      <c r="AL20" s="34">
        <f t="shared" si="12"/>
        <v>-3.52</v>
      </c>
    </row>
    <row r="21" spans="2:38" x14ac:dyDescent="0.25">
      <c r="E21" s="25">
        <f t="shared" si="13"/>
        <v>18</v>
      </c>
      <c r="F21" s="26" t="str">
        <f t="shared" si="14"/>
        <v>12/07/2020</v>
      </c>
      <c r="G21" s="27">
        <f t="shared" si="15"/>
        <v>1</v>
      </c>
      <c r="H21" s="28">
        <f t="shared" si="0"/>
        <v>4.3691803278688525E-4</v>
      </c>
      <c r="I21" s="3">
        <f t="shared" si="16"/>
        <v>0.15607199999999999</v>
      </c>
      <c r="J21" s="3">
        <f t="shared" si="1"/>
        <v>0.86499802780449664</v>
      </c>
      <c r="K21" s="3">
        <f t="shared" si="17"/>
        <v>17.23585488347867</v>
      </c>
      <c r="L21" s="30">
        <f t="shared" si="2"/>
        <v>41.94</v>
      </c>
      <c r="M21" s="29">
        <f t="shared" si="18"/>
        <v>166.30000000000018</v>
      </c>
      <c r="N21" s="29">
        <f t="shared" si="22"/>
        <v>7.0000000000000007E-2</v>
      </c>
      <c r="O21" s="29">
        <f t="shared" si="3"/>
        <v>32.340000000000003</v>
      </c>
      <c r="P21" s="29">
        <f t="shared" si="4"/>
        <v>32.409999999999997</v>
      </c>
      <c r="Q21" s="23" t="str">
        <f t="shared" si="5"/>
        <v>Y</v>
      </c>
      <c r="R21" s="5" t="str">
        <f t="shared" si="19"/>
        <v/>
      </c>
      <c r="S21" s="5" t="str">
        <f t="shared" si="20"/>
        <v/>
      </c>
      <c r="T21" s="5" t="str">
        <f t="shared" si="21"/>
        <v/>
      </c>
      <c r="U21" s="4" t="str">
        <f t="shared" si="6"/>
        <v/>
      </c>
      <c r="V21" s="6" t="str">
        <f t="shared" si="7"/>
        <v/>
      </c>
      <c r="W21" s="22" t="str">
        <f t="shared" si="8"/>
        <v/>
      </c>
      <c r="X21" s="22" t="str">
        <f t="shared" si="9"/>
        <v/>
      </c>
      <c r="Y21" s="22"/>
      <c r="Z21" s="1">
        <v>18</v>
      </c>
      <c r="AA21" s="1">
        <v>1</v>
      </c>
      <c r="AB21" s="1" t="s">
        <v>38</v>
      </c>
      <c r="AC21" s="2">
        <v>44318</v>
      </c>
      <c r="AD21" s="2">
        <v>43780</v>
      </c>
      <c r="AE21" s="36">
        <v>35.25</v>
      </c>
      <c r="AF21" s="36">
        <v>32.18</v>
      </c>
      <c r="AG21" s="36">
        <v>3.07</v>
      </c>
      <c r="AJ21" s="34">
        <f t="shared" si="10"/>
        <v>2.8400000000000034</v>
      </c>
      <c r="AK21" s="34">
        <f t="shared" si="11"/>
        <v>-0.16000000000000369</v>
      </c>
      <c r="AL21" s="34">
        <f t="shared" si="12"/>
        <v>-3</v>
      </c>
    </row>
    <row r="22" spans="2:38" x14ac:dyDescent="0.25">
      <c r="E22" s="25">
        <f t="shared" si="13"/>
        <v>19</v>
      </c>
      <c r="F22" s="26" t="str">
        <f t="shared" si="14"/>
        <v>12/08/2020</v>
      </c>
      <c r="G22" s="27">
        <f t="shared" si="15"/>
        <v>1</v>
      </c>
      <c r="H22" s="28">
        <f t="shared" si="0"/>
        <v>4.3691803278688525E-4</v>
      </c>
      <c r="I22" s="3">
        <f t="shared" si="16"/>
        <v>0.15657699999999999</v>
      </c>
      <c r="J22" s="3">
        <f t="shared" si="1"/>
        <v>0.86462034088521567</v>
      </c>
      <c r="K22" s="3">
        <f t="shared" si="17"/>
        <v>18.100475224363887</v>
      </c>
      <c r="L22" s="30">
        <f t="shared" si="2"/>
        <v>39.94</v>
      </c>
      <c r="M22" s="29">
        <f t="shared" si="18"/>
        <v>133.96000000000018</v>
      </c>
      <c r="N22" s="29">
        <f t="shared" si="22"/>
        <v>0.05</v>
      </c>
      <c r="O22" s="29">
        <f t="shared" si="3"/>
        <v>32.36</v>
      </c>
      <c r="P22" s="29">
        <f t="shared" si="4"/>
        <v>32.409999999999997</v>
      </c>
      <c r="Q22" s="23" t="str">
        <f t="shared" si="5"/>
        <v>Y</v>
      </c>
      <c r="R22" s="5" t="str">
        <f t="shared" si="19"/>
        <v/>
      </c>
      <c r="S22" s="5" t="str">
        <f t="shared" si="20"/>
        <v/>
      </c>
      <c r="T22" s="5" t="str">
        <f t="shared" si="21"/>
        <v/>
      </c>
      <c r="U22" s="4" t="str">
        <f t="shared" si="6"/>
        <v/>
      </c>
      <c r="V22" s="6" t="str">
        <f t="shared" si="7"/>
        <v/>
      </c>
      <c r="W22" s="22" t="str">
        <f t="shared" si="8"/>
        <v/>
      </c>
      <c r="X22" s="22" t="str">
        <f t="shared" si="9"/>
        <v/>
      </c>
      <c r="Y22" s="22"/>
      <c r="Z22" s="1">
        <v>19</v>
      </c>
      <c r="AA22" s="1">
        <v>1</v>
      </c>
      <c r="AB22" s="1" t="s">
        <v>38</v>
      </c>
      <c r="AC22" s="2">
        <v>44349</v>
      </c>
      <c r="AD22" s="2">
        <v>43780</v>
      </c>
      <c r="AE22" s="36">
        <v>35.25</v>
      </c>
      <c r="AF22" s="36">
        <v>32.51</v>
      </c>
      <c r="AG22" s="36">
        <v>2.74</v>
      </c>
      <c r="AJ22" s="34">
        <f t="shared" si="10"/>
        <v>2.8400000000000034</v>
      </c>
      <c r="AK22" s="34">
        <f t="shared" si="11"/>
        <v>0.14999999999999858</v>
      </c>
      <c r="AL22" s="34">
        <f t="shared" si="12"/>
        <v>-2.6900000000000004</v>
      </c>
    </row>
    <row r="23" spans="2:38" x14ac:dyDescent="0.25">
      <c r="E23" s="25">
        <f t="shared" si="13"/>
        <v>20</v>
      </c>
      <c r="F23" s="26" t="str">
        <f t="shared" si="14"/>
        <v>12/09/2020</v>
      </c>
      <c r="G23" s="27">
        <f t="shared" si="15"/>
        <v>1</v>
      </c>
      <c r="H23" s="28">
        <f t="shared" si="0"/>
        <v>4.3691803278688525E-4</v>
      </c>
      <c r="I23" s="3">
        <f t="shared" si="16"/>
        <v>0.157082</v>
      </c>
      <c r="J23" s="3">
        <f t="shared" si="1"/>
        <v>0.86424298364333729</v>
      </c>
      <c r="K23" s="3">
        <f t="shared" si="17"/>
        <v>18.964718208007223</v>
      </c>
      <c r="L23" s="30">
        <f t="shared" si="2"/>
        <v>38.119999999999997</v>
      </c>
      <c r="M23" s="29">
        <f t="shared" si="18"/>
        <v>101.60000000000018</v>
      </c>
      <c r="N23" s="29">
        <f t="shared" si="22"/>
        <v>0.04</v>
      </c>
      <c r="O23" s="29">
        <f t="shared" si="3"/>
        <v>32.369999999999997</v>
      </c>
      <c r="P23" s="29">
        <f t="shared" si="4"/>
        <v>32.409999999999997</v>
      </c>
      <c r="Q23" s="23" t="str">
        <f t="shared" si="5"/>
        <v>Y</v>
      </c>
      <c r="R23" s="5" t="str">
        <f t="shared" si="19"/>
        <v/>
      </c>
      <c r="S23" s="5" t="str">
        <f t="shared" si="20"/>
        <v/>
      </c>
      <c r="T23" s="5" t="str">
        <f t="shared" si="21"/>
        <v/>
      </c>
      <c r="U23" s="4" t="str">
        <f t="shared" si="6"/>
        <v/>
      </c>
      <c r="V23" s="6" t="str">
        <f t="shared" si="7"/>
        <v/>
      </c>
      <c r="W23" s="22" t="str">
        <f t="shared" si="8"/>
        <v/>
      </c>
      <c r="X23" s="22" t="str">
        <f t="shared" si="9"/>
        <v/>
      </c>
      <c r="Y23" s="22"/>
      <c r="Z23" s="1">
        <v>20</v>
      </c>
      <c r="AA23" s="1">
        <v>1</v>
      </c>
      <c r="AB23" s="1" t="s">
        <v>38</v>
      </c>
      <c r="AC23" s="2">
        <v>44379</v>
      </c>
      <c r="AD23" s="2">
        <v>43780</v>
      </c>
      <c r="AE23" s="36">
        <v>35.25</v>
      </c>
      <c r="AF23" s="36">
        <v>33.03</v>
      </c>
      <c r="AG23" s="36">
        <v>2.2200000000000002</v>
      </c>
      <c r="AJ23" s="34">
        <f t="shared" si="10"/>
        <v>2.8400000000000034</v>
      </c>
      <c r="AK23" s="34">
        <f t="shared" si="11"/>
        <v>0.66000000000000369</v>
      </c>
      <c r="AL23" s="34">
        <f t="shared" si="12"/>
        <v>-2.1800000000000002</v>
      </c>
    </row>
    <row r="24" spans="2:38" x14ac:dyDescent="0.25">
      <c r="E24" s="25">
        <f t="shared" si="13"/>
        <v>21</v>
      </c>
      <c r="F24" s="26" t="str">
        <f t="shared" si="14"/>
        <v>12/10/2020</v>
      </c>
      <c r="G24" s="27">
        <f t="shared" si="15"/>
        <v>1</v>
      </c>
      <c r="H24" s="28">
        <f t="shared" si="0"/>
        <v>4.3691803278688525E-4</v>
      </c>
      <c r="I24" s="7">
        <f t="shared" si="16"/>
        <v>0.15758800000000001</v>
      </c>
      <c r="J24" s="3">
        <f t="shared" si="1"/>
        <v>0.86386520938364941</v>
      </c>
      <c r="K24" s="3">
        <f t="shared" si="17"/>
        <v>19.828583417390874</v>
      </c>
      <c r="L24" s="30">
        <f t="shared" si="2"/>
        <v>36.46</v>
      </c>
      <c r="M24" s="29">
        <f t="shared" si="18"/>
        <v>69.230000000000189</v>
      </c>
      <c r="N24" s="29">
        <f t="shared" si="22"/>
        <v>0.03</v>
      </c>
      <c r="O24" s="29">
        <f t="shared" si="3"/>
        <v>32.380000000000003</v>
      </c>
      <c r="P24" s="29">
        <f t="shared" si="4"/>
        <v>32.409999999999997</v>
      </c>
      <c r="Q24" s="23" t="str">
        <f t="shared" si="5"/>
        <v>Y</v>
      </c>
      <c r="R24" s="5" t="str">
        <f t="shared" si="19"/>
        <v/>
      </c>
      <c r="S24" s="5" t="str">
        <f t="shared" si="20"/>
        <v/>
      </c>
      <c r="T24" s="5" t="str">
        <f t="shared" si="21"/>
        <v/>
      </c>
      <c r="U24" s="4" t="str">
        <f t="shared" si="6"/>
        <v/>
      </c>
      <c r="V24" s="6" t="str">
        <f t="shared" si="7"/>
        <v/>
      </c>
      <c r="W24" s="22" t="str">
        <f t="shared" si="8"/>
        <v/>
      </c>
      <c r="X24" s="22" t="str">
        <f t="shared" si="9"/>
        <v/>
      </c>
      <c r="Y24" s="22"/>
      <c r="Z24" s="1">
        <v>21</v>
      </c>
      <c r="AA24" s="1">
        <v>1</v>
      </c>
      <c r="AB24" s="1" t="s">
        <v>38</v>
      </c>
      <c r="AC24" s="2">
        <v>44410</v>
      </c>
      <c r="AD24" s="2">
        <v>43780</v>
      </c>
      <c r="AE24" s="36">
        <v>35.25</v>
      </c>
      <c r="AF24" s="36">
        <v>33.4</v>
      </c>
      <c r="AG24" s="36">
        <v>1.85</v>
      </c>
      <c r="AJ24" s="34">
        <f t="shared" si="10"/>
        <v>2.8400000000000034</v>
      </c>
      <c r="AK24" s="34">
        <f t="shared" si="11"/>
        <v>1.019999999999996</v>
      </c>
      <c r="AL24" s="34">
        <f t="shared" si="12"/>
        <v>-1.82</v>
      </c>
    </row>
    <row r="25" spans="2:38" x14ac:dyDescent="0.25">
      <c r="E25" s="25">
        <f t="shared" si="13"/>
        <v>22</v>
      </c>
      <c r="F25" s="26" t="str">
        <f t="shared" si="14"/>
        <v>12/11/2020</v>
      </c>
      <c r="G25" s="27">
        <f t="shared" si="15"/>
        <v>1</v>
      </c>
      <c r="H25" s="28">
        <f t="shared" si="0"/>
        <v>4.3691803278688525E-4</v>
      </c>
      <c r="I25" s="3">
        <f t="shared" si="16"/>
        <v>0.15809400000000001</v>
      </c>
      <c r="J25" s="3">
        <f t="shared" si="1"/>
        <v>0.86348776524185433</v>
      </c>
      <c r="K25" s="7">
        <f t="shared" si="17"/>
        <v>20.692071182632727</v>
      </c>
      <c r="L25" s="30">
        <f t="shared" si="2"/>
        <v>34.94</v>
      </c>
      <c r="M25" s="29">
        <f t="shared" si="18"/>
        <v>36.850000000000186</v>
      </c>
      <c r="N25" s="29">
        <f t="shared" si="22"/>
        <v>0.01</v>
      </c>
      <c r="O25" s="29">
        <f t="shared" si="3"/>
        <v>32.4</v>
      </c>
      <c r="P25" s="29">
        <f t="shared" si="4"/>
        <v>32.409999999999997</v>
      </c>
      <c r="Q25" s="23" t="str">
        <f t="shared" si="5"/>
        <v>Y</v>
      </c>
      <c r="R25" s="5" t="str">
        <f t="shared" si="19"/>
        <v/>
      </c>
      <c r="S25" s="5" t="str">
        <f t="shared" si="20"/>
        <v/>
      </c>
      <c r="T25" s="5" t="str">
        <f t="shared" si="21"/>
        <v/>
      </c>
      <c r="U25" s="4" t="str">
        <f t="shared" si="6"/>
        <v/>
      </c>
      <c r="V25" s="6" t="str">
        <f t="shared" si="7"/>
        <v/>
      </c>
      <c r="W25" s="22" t="str">
        <f t="shared" si="8"/>
        <v/>
      </c>
      <c r="X25" s="22" t="str">
        <f t="shared" si="9"/>
        <v/>
      </c>
      <c r="Y25" s="22"/>
      <c r="Z25" s="1">
        <v>22</v>
      </c>
      <c r="AA25" s="1">
        <v>1</v>
      </c>
      <c r="AB25" s="1" t="s">
        <v>38</v>
      </c>
      <c r="AC25" s="2">
        <v>44441</v>
      </c>
      <c r="AD25" s="2">
        <v>43780</v>
      </c>
      <c r="AE25" s="36">
        <v>35.25</v>
      </c>
      <c r="AF25" s="36">
        <v>33.86</v>
      </c>
      <c r="AG25" s="36">
        <v>1.39</v>
      </c>
      <c r="AJ25" s="34">
        <f t="shared" si="10"/>
        <v>2.8400000000000034</v>
      </c>
      <c r="AK25" s="34">
        <f t="shared" si="11"/>
        <v>1.4600000000000009</v>
      </c>
      <c r="AL25" s="34">
        <f t="shared" si="12"/>
        <v>-1.38</v>
      </c>
    </row>
    <row r="26" spans="2:38" x14ac:dyDescent="0.25">
      <c r="E26" s="25">
        <f t="shared" si="13"/>
        <v>23</v>
      </c>
      <c r="F26" s="26" t="str">
        <f t="shared" si="14"/>
        <v>12/12/2020</v>
      </c>
      <c r="G26" s="27">
        <f t="shared" si="15"/>
        <v>1</v>
      </c>
      <c r="H26" s="28">
        <f t="shared" si="0"/>
        <v>4.3691803278688525E-4</v>
      </c>
      <c r="I26" s="3">
        <f t="shared" si="16"/>
        <v>0.15859999999999999</v>
      </c>
      <c r="J26" s="3">
        <f t="shared" si="1"/>
        <v>0.86311065078543059</v>
      </c>
      <c r="K26" s="3">
        <f t="shared" si="17"/>
        <v>21.555181833418157</v>
      </c>
      <c r="L26" s="30">
        <f t="shared" si="2"/>
        <v>33.54</v>
      </c>
      <c r="M26" s="29">
        <f t="shared" si="18"/>
        <v>4.4500000000001876</v>
      </c>
      <c r="N26" s="29">
        <f t="shared" si="22"/>
        <v>0</v>
      </c>
      <c r="O26" s="29">
        <f t="shared" si="3"/>
        <v>32.409999999999997</v>
      </c>
      <c r="P26" s="29">
        <f t="shared" si="4"/>
        <v>32.409999999999997</v>
      </c>
      <c r="Q26" s="23" t="str">
        <f t="shared" si="5"/>
        <v>Y</v>
      </c>
      <c r="R26" s="5" t="str">
        <f t="shared" si="19"/>
        <v/>
      </c>
      <c r="S26" s="5" t="str">
        <f t="shared" si="20"/>
        <v/>
      </c>
      <c r="T26" s="5" t="str">
        <f t="shared" si="21"/>
        <v/>
      </c>
      <c r="U26" s="4" t="str">
        <f t="shared" si="6"/>
        <v/>
      </c>
      <c r="V26" s="6" t="str">
        <f t="shared" si="7"/>
        <v/>
      </c>
      <c r="W26" s="22" t="str">
        <f t="shared" si="8"/>
        <v/>
      </c>
      <c r="X26" s="22" t="str">
        <f t="shared" si="9"/>
        <v/>
      </c>
      <c r="Y26" s="22"/>
      <c r="Z26" s="1">
        <v>23</v>
      </c>
      <c r="AA26" s="1">
        <v>1</v>
      </c>
      <c r="AB26" s="1" t="s">
        <v>38</v>
      </c>
      <c r="AC26" s="2">
        <v>44471</v>
      </c>
      <c r="AD26" s="2">
        <v>43780</v>
      </c>
      <c r="AE26" s="36">
        <v>35.25</v>
      </c>
      <c r="AF26" s="36">
        <v>34.35</v>
      </c>
      <c r="AG26" s="36">
        <v>0.9</v>
      </c>
      <c r="AJ26" s="34">
        <f t="shared" si="10"/>
        <v>2.8400000000000034</v>
      </c>
      <c r="AK26" s="34">
        <f t="shared" si="11"/>
        <v>1.9400000000000048</v>
      </c>
      <c r="AL26" s="34">
        <f t="shared" si="12"/>
        <v>-0.9</v>
      </c>
    </row>
    <row r="27" spans="2:38" x14ac:dyDescent="0.25">
      <c r="E27" s="25">
        <f t="shared" si="13"/>
        <v>24</v>
      </c>
      <c r="F27" s="26" t="str">
        <f t="shared" si="14"/>
        <v>12/01/2021</v>
      </c>
      <c r="G27" s="27">
        <f t="shared" si="15"/>
        <v>354</v>
      </c>
      <c r="H27" s="28">
        <f t="shared" si="0"/>
        <v>0.15509273424657535</v>
      </c>
      <c r="I27" s="3">
        <f t="shared" si="16"/>
        <v>0.33828999999999998</v>
      </c>
      <c r="J27" s="7">
        <f t="shared" si="1"/>
        <v>0.74722220146605001</v>
      </c>
      <c r="K27" s="3">
        <f t="shared" si="17"/>
        <v>22.302404034884209</v>
      </c>
      <c r="L27" s="30">
        <f t="shared" si="2"/>
        <v>32.409999999999997</v>
      </c>
      <c r="M27" s="29" t="str">
        <f t="shared" si="18"/>
        <v/>
      </c>
      <c r="N27" s="29">
        <f t="shared" si="22"/>
        <v>0</v>
      </c>
      <c r="O27" s="29" t="str">
        <f t="shared" si="3"/>
        <v/>
      </c>
      <c r="P27" s="29" t="str">
        <f t="shared" si="4"/>
        <v/>
      </c>
      <c r="Q27" s="23" t="str">
        <f t="shared" si="5"/>
        <v>N</v>
      </c>
      <c r="R27" s="5" t="str">
        <f t="shared" si="19"/>
        <v>12/12/2020</v>
      </c>
      <c r="S27" s="5" t="str">
        <f t="shared" si="20"/>
        <v>31/12/2020</v>
      </c>
      <c r="T27" s="5" t="str">
        <f t="shared" si="21"/>
        <v>12/01/2021</v>
      </c>
      <c r="U27" s="4" t="str">
        <f t="shared" si="6"/>
        <v/>
      </c>
      <c r="V27" s="6" t="str">
        <f t="shared" si="7"/>
        <v/>
      </c>
      <c r="W27" s="22" t="str">
        <f t="shared" si="8"/>
        <v/>
      </c>
      <c r="X27" s="22" t="str">
        <f t="shared" si="9"/>
        <v/>
      </c>
      <c r="Y27" s="22"/>
      <c r="Z27" s="1">
        <v>24</v>
      </c>
      <c r="AA27" s="1">
        <v>1</v>
      </c>
      <c r="AB27" s="1" t="s">
        <v>38</v>
      </c>
      <c r="AC27" s="2">
        <v>44502</v>
      </c>
      <c r="AD27" s="2">
        <v>43780</v>
      </c>
      <c r="AE27" s="36">
        <v>35.18</v>
      </c>
      <c r="AF27" s="36">
        <v>34.71</v>
      </c>
      <c r="AG27" s="36">
        <v>0.47</v>
      </c>
      <c r="AJ27" s="34" t="e">
        <f t="shared" si="10"/>
        <v>#VALUE!</v>
      </c>
      <c r="AK27" s="34" t="e">
        <f t="shared" si="11"/>
        <v>#VALUE!</v>
      </c>
      <c r="AL27" s="34">
        <f t="shared" si="12"/>
        <v>-0.47</v>
      </c>
    </row>
    <row r="28" spans="2:38" x14ac:dyDescent="0.25">
      <c r="E28" s="25" t="str">
        <f t="shared" si="13"/>
        <v xml:space="preserve"> </v>
      </c>
      <c r="F28" s="26" t="str">
        <f t="shared" si="14"/>
        <v xml:space="preserve"> </v>
      </c>
      <c r="G28" s="27" t="str">
        <f t="shared" si="15"/>
        <v xml:space="preserve"> </v>
      </c>
      <c r="H28" s="28" t="str">
        <f t="shared" si="0"/>
        <v xml:space="preserve"> </v>
      </c>
      <c r="I28" s="3" t="str">
        <f t="shared" si="16"/>
        <v xml:space="preserve"> </v>
      </c>
      <c r="J28" s="3" t="str">
        <f t="shared" si="1"/>
        <v xml:space="preserve"> </v>
      </c>
      <c r="K28" s="3" t="str">
        <f t="shared" si="17"/>
        <v/>
      </c>
      <c r="L28" s="30" t="str">
        <f t="shared" si="2"/>
        <v/>
      </c>
      <c r="M28" s="29" t="str">
        <f t="shared" si="18"/>
        <v/>
      </c>
      <c r="N28" s="29" t="str">
        <f t="shared" si="22"/>
        <v/>
      </c>
      <c r="O28" s="29" t="str">
        <f t="shared" si="3"/>
        <v/>
      </c>
      <c r="P28" s="29" t="str">
        <f t="shared" si="4"/>
        <v/>
      </c>
      <c r="Q28" s="23" t="str">
        <f t="shared" si="5"/>
        <v/>
      </c>
      <c r="R28" s="5" t="str">
        <f t="shared" si="19"/>
        <v/>
      </c>
      <c r="S28" s="5" t="str">
        <f t="shared" si="20"/>
        <v/>
      </c>
      <c r="T28" s="5" t="str">
        <f t="shared" si="21"/>
        <v/>
      </c>
      <c r="U28" s="4" t="str">
        <f t="shared" si="6"/>
        <v xml:space="preserve"> </v>
      </c>
      <c r="V28" s="6" t="str">
        <f t="shared" si="7"/>
        <v xml:space="preserve"> </v>
      </c>
      <c r="W28" s="22" t="str">
        <f t="shared" si="8"/>
        <v/>
      </c>
      <c r="X28" s="22" t="str">
        <f t="shared" si="9"/>
        <v/>
      </c>
      <c r="Y28" s="22"/>
      <c r="AC28" s="2"/>
      <c r="AD28" s="2"/>
      <c r="AJ28" s="34"/>
      <c r="AK28" s="34"/>
      <c r="AL28" s="34"/>
    </row>
    <row r="29" spans="2:38" x14ac:dyDescent="0.25">
      <c r="E29" s="25" t="str">
        <f t="shared" si="13"/>
        <v xml:space="preserve"> </v>
      </c>
      <c r="F29" s="26" t="str">
        <f t="shared" si="14"/>
        <v xml:space="preserve"> </v>
      </c>
      <c r="G29" s="27" t="str">
        <f t="shared" si="15"/>
        <v xml:space="preserve"> </v>
      </c>
      <c r="H29" s="28" t="str">
        <f t="shared" si="0"/>
        <v xml:space="preserve"> </v>
      </c>
      <c r="I29" s="3" t="str">
        <f t="shared" si="16"/>
        <v xml:space="preserve"> </v>
      </c>
      <c r="J29" s="3" t="str">
        <f t="shared" si="1"/>
        <v xml:space="preserve"> </v>
      </c>
      <c r="K29" s="3" t="str">
        <f t="shared" si="17"/>
        <v/>
      </c>
      <c r="L29" s="30" t="str">
        <f t="shared" si="2"/>
        <v/>
      </c>
      <c r="M29" s="29" t="str">
        <f t="shared" si="18"/>
        <v/>
      </c>
      <c r="N29" s="29" t="str">
        <f t="shared" si="22"/>
        <v/>
      </c>
      <c r="O29" s="29" t="str">
        <f t="shared" si="3"/>
        <v/>
      </c>
      <c r="P29" s="29" t="str">
        <f t="shared" si="4"/>
        <v/>
      </c>
      <c r="Q29" s="23" t="str">
        <f t="shared" si="5"/>
        <v/>
      </c>
      <c r="R29" s="5" t="str">
        <f t="shared" si="19"/>
        <v/>
      </c>
      <c r="S29" s="5" t="str">
        <f t="shared" si="20"/>
        <v/>
      </c>
      <c r="T29" s="5" t="str">
        <f t="shared" si="21"/>
        <v/>
      </c>
      <c r="U29" s="4" t="str">
        <f t="shared" si="6"/>
        <v xml:space="preserve"> </v>
      </c>
      <c r="V29" s="6" t="str">
        <f t="shared" si="7"/>
        <v xml:space="preserve"> </v>
      </c>
      <c r="W29" s="22" t="str">
        <f t="shared" si="8"/>
        <v/>
      </c>
      <c r="X29" s="22" t="str">
        <f t="shared" si="9"/>
        <v/>
      </c>
      <c r="Y29" s="22"/>
      <c r="AC29" s="2"/>
      <c r="AD29" s="2"/>
      <c r="AJ29" s="34"/>
      <c r="AK29" s="34"/>
      <c r="AL29" s="34"/>
    </row>
    <row r="30" spans="2:38" x14ac:dyDescent="0.25">
      <c r="E30" s="25" t="str">
        <f t="shared" si="13"/>
        <v xml:space="preserve"> </v>
      </c>
      <c r="F30" s="26" t="str">
        <f t="shared" si="14"/>
        <v xml:space="preserve"> </v>
      </c>
      <c r="G30" s="27" t="str">
        <f t="shared" si="15"/>
        <v xml:space="preserve"> </v>
      </c>
      <c r="H30" s="28" t="str">
        <f t="shared" si="0"/>
        <v xml:space="preserve"> </v>
      </c>
      <c r="I30" s="3" t="str">
        <f t="shared" si="16"/>
        <v xml:space="preserve"> </v>
      </c>
      <c r="J30" s="3" t="str">
        <f t="shared" si="1"/>
        <v xml:space="preserve"> </v>
      </c>
      <c r="K30" s="3" t="str">
        <f t="shared" si="17"/>
        <v/>
      </c>
      <c r="L30" s="30" t="str">
        <f t="shared" si="2"/>
        <v/>
      </c>
      <c r="M30" s="29" t="str">
        <f t="shared" si="18"/>
        <v/>
      </c>
      <c r="N30" s="29" t="str">
        <f t="shared" si="22"/>
        <v/>
      </c>
      <c r="O30" s="29" t="str">
        <f t="shared" si="3"/>
        <v/>
      </c>
      <c r="P30" s="29" t="str">
        <f t="shared" si="4"/>
        <v/>
      </c>
      <c r="Q30" s="23" t="str">
        <f t="shared" si="5"/>
        <v/>
      </c>
      <c r="R30" s="5" t="str">
        <f t="shared" si="19"/>
        <v/>
      </c>
      <c r="S30" s="5" t="str">
        <f t="shared" si="20"/>
        <v/>
      </c>
      <c r="T30" s="5" t="str">
        <f t="shared" si="21"/>
        <v/>
      </c>
      <c r="U30" s="4" t="str">
        <f t="shared" si="6"/>
        <v xml:space="preserve"> </v>
      </c>
      <c r="V30" s="6" t="str">
        <f t="shared" si="7"/>
        <v xml:space="preserve"> </v>
      </c>
      <c r="W30" s="22" t="str">
        <f t="shared" si="8"/>
        <v/>
      </c>
      <c r="X30" s="22" t="str">
        <f t="shared" si="9"/>
        <v/>
      </c>
      <c r="Y30" s="22"/>
      <c r="AC30" s="2"/>
      <c r="AD30" s="2"/>
      <c r="AJ30" s="34"/>
      <c r="AK30" s="34"/>
      <c r="AL30" s="34"/>
    </row>
    <row r="31" spans="2:38" x14ac:dyDescent="0.25">
      <c r="E31" s="25" t="str">
        <f t="shared" si="13"/>
        <v xml:space="preserve"> </v>
      </c>
      <c r="F31" s="26" t="str">
        <f t="shared" si="14"/>
        <v xml:space="preserve"> </v>
      </c>
      <c r="G31" s="27" t="str">
        <f t="shared" si="15"/>
        <v xml:space="preserve"> </v>
      </c>
      <c r="H31" s="28" t="str">
        <f t="shared" si="0"/>
        <v xml:space="preserve"> </v>
      </c>
      <c r="I31" s="3" t="str">
        <f t="shared" si="16"/>
        <v xml:space="preserve"> </v>
      </c>
      <c r="J31" s="3" t="str">
        <f t="shared" si="1"/>
        <v xml:space="preserve"> </v>
      </c>
      <c r="K31" s="3" t="str">
        <f t="shared" si="17"/>
        <v/>
      </c>
      <c r="L31" s="30" t="str">
        <f t="shared" si="2"/>
        <v/>
      </c>
      <c r="M31" s="29" t="str">
        <f t="shared" si="18"/>
        <v/>
      </c>
      <c r="N31" s="29" t="str">
        <f t="shared" si="22"/>
        <v/>
      </c>
      <c r="O31" s="29" t="str">
        <f t="shared" si="3"/>
        <v/>
      </c>
      <c r="P31" s="29" t="str">
        <f t="shared" si="4"/>
        <v/>
      </c>
      <c r="Q31" s="23" t="str">
        <f t="shared" si="5"/>
        <v/>
      </c>
      <c r="R31" s="5" t="str">
        <f t="shared" si="19"/>
        <v/>
      </c>
      <c r="S31" s="5" t="str">
        <f t="shared" si="20"/>
        <v/>
      </c>
      <c r="T31" s="5" t="str">
        <f t="shared" si="21"/>
        <v/>
      </c>
      <c r="U31" s="4" t="str">
        <f t="shared" si="6"/>
        <v xml:space="preserve"> </v>
      </c>
      <c r="V31" s="6" t="str">
        <f t="shared" si="7"/>
        <v xml:space="preserve"> </v>
      </c>
      <c r="W31" s="22" t="str">
        <f t="shared" si="8"/>
        <v/>
      </c>
      <c r="X31" s="22" t="str">
        <f t="shared" si="9"/>
        <v/>
      </c>
      <c r="Y31" s="22"/>
      <c r="AC31" s="2"/>
      <c r="AD31" s="2"/>
      <c r="AJ31" s="34"/>
      <c r="AK31" s="34"/>
      <c r="AL31" s="34"/>
    </row>
    <row r="32" spans="2:38" x14ac:dyDescent="0.25">
      <c r="E32" s="25" t="str">
        <f t="shared" si="13"/>
        <v xml:space="preserve"> </v>
      </c>
      <c r="F32" s="26" t="str">
        <f t="shared" si="14"/>
        <v xml:space="preserve"> </v>
      </c>
      <c r="G32" s="27" t="str">
        <f t="shared" si="15"/>
        <v xml:space="preserve"> </v>
      </c>
      <c r="H32" s="28" t="str">
        <f t="shared" si="0"/>
        <v xml:space="preserve"> </v>
      </c>
      <c r="I32" s="3" t="str">
        <f t="shared" si="16"/>
        <v xml:space="preserve"> </v>
      </c>
      <c r="J32" s="3" t="str">
        <f t="shared" si="1"/>
        <v xml:space="preserve"> </v>
      </c>
      <c r="K32" s="3" t="str">
        <f t="shared" si="17"/>
        <v/>
      </c>
      <c r="L32" s="30" t="str">
        <f t="shared" si="2"/>
        <v/>
      </c>
      <c r="M32" s="29" t="str">
        <f t="shared" si="18"/>
        <v/>
      </c>
      <c r="N32" s="29" t="str">
        <f t="shared" si="22"/>
        <v/>
      </c>
      <c r="O32" s="29" t="str">
        <f t="shared" si="3"/>
        <v/>
      </c>
      <c r="P32" s="29" t="str">
        <f t="shared" si="4"/>
        <v/>
      </c>
      <c r="Q32" s="23" t="str">
        <f t="shared" si="5"/>
        <v/>
      </c>
      <c r="R32" s="5" t="str">
        <f t="shared" si="19"/>
        <v/>
      </c>
      <c r="S32" s="5" t="str">
        <f t="shared" si="20"/>
        <v/>
      </c>
      <c r="T32" s="5" t="str">
        <f t="shared" si="21"/>
        <v/>
      </c>
      <c r="U32" s="4" t="str">
        <f t="shared" si="6"/>
        <v xml:space="preserve"> </v>
      </c>
      <c r="V32" s="6" t="str">
        <f t="shared" si="7"/>
        <v xml:space="preserve"> </v>
      </c>
      <c r="W32" s="22" t="str">
        <f t="shared" si="8"/>
        <v/>
      </c>
      <c r="X32" s="22" t="str">
        <f t="shared" si="9"/>
        <v/>
      </c>
      <c r="Y32" s="22"/>
      <c r="AC32" s="2"/>
      <c r="AD32" s="2"/>
      <c r="AJ32" s="34"/>
      <c r="AK32" s="34"/>
      <c r="AL32" s="34"/>
    </row>
    <row r="33" spans="5:38" x14ac:dyDescent="0.25">
      <c r="E33" s="25" t="str">
        <f t="shared" si="13"/>
        <v xml:space="preserve"> </v>
      </c>
      <c r="F33" s="26" t="str">
        <f t="shared" si="14"/>
        <v xml:space="preserve"> </v>
      </c>
      <c r="G33" s="27" t="str">
        <f t="shared" si="15"/>
        <v xml:space="preserve"> </v>
      </c>
      <c r="H33" s="28" t="str">
        <f t="shared" si="0"/>
        <v xml:space="preserve"> </v>
      </c>
      <c r="I33" s="3" t="str">
        <f t="shared" si="16"/>
        <v xml:space="preserve"> </v>
      </c>
      <c r="J33" s="3" t="str">
        <f t="shared" si="1"/>
        <v xml:space="preserve"> </v>
      </c>
      <c r="K33" s="3" t="str">
        <f t="shared" si="17"/>
        <v/>
      </c>
      <c r="L33" s="30" t="str">
        <f t="shared" si="2"/>
        <v/>
      </c>
      <c r="M33" s="29" t="str">
        <f t="shared" si="18"/>
        <v/>
      </c>
      <c r="N33" s="29" t="str">
        <f t="shared" si="22"/>
        <v/>
      </c>
      <c r="O33" s="29" t="str">
        <f t="shared" si="3"/>
        <v/>
      </c>
      <c r="P33" s="29" t="str">
        <f t="shared" si="4"/>
        <v/>
      </c>
      <c r="Q33" s="23" t="str">
        <f t="shared" si="5"/>
        <v/>
      </c>
      <c r="R33" s="5" t="str">
        <f t="shared" si="19"/>
        <v/>
      </c>
      <c r="S33" s="5" t="str">
        <f t="shared" si="20"/>
        <v/>
      </c>
      <c r="T33" s="5" t="str">
        <f t="shared" si="21"/>
        <v/>
      </c>
      <c r="U33" s="4" t="str">
        <f t="shared" si="6"/>
        <v xml:space="preserve"> </v>
      </c>
      <c r="V33" s="6" t="str">
        <f t="shared" si="7"/>
        <v xml:space="preserve"> </v>
      </c>
      <c r="W33" s="22" t="str">
        <f t="shared" si="8"/>
        <v/>
      </c>
      <c r="X33" s="22" t="str">
        <f t="shared" si="9"/>
        <v/>
      </c>
      <c r="Y33" s="22"/>
      <c r="AC33" s="2"/>
      <c r="AD33" s="2"/>
      <c r="AJ33" s="34"/>
      <c r="AK33" s="34"/>
      <c r="AL33" s="34"/>
    </row>
    <row r="34" spans="5:38" x14ac:dyDescent="0.25">
      <c r="E34" s="25" t="str">
        <f t="shared" si="13"/>
        <v xml:space="preserve"> </v>
      </c>
      <c r="F34" s="26" t="str">
        <f t="shared" si="14"/>
        <v xml:space="preserve"> </v>
      </c>
      <c r="G34" s="27" t="str">
        <f t="shared" si="15"/>
        <v xml:space="preserve"> </v>
      </c>
      <c r="H34" s="28" t="str">
        <f t="shared" si="0"/>
        <v xml:space="preserve"> </v>
      </c>
      <c r="I34" s="3" t="str">
        <f t="shared" si="16"/>
        <v xml:space="preserve"> </v>
      </c>
      <c r="J34" s="3" t="str">
        <f t="shared" si="1"/>
        <v xml:space="preserve"> </v>
      </c>
      <c r="K34" s="3" t="str">
        <f t="shared" si="17"/>
        <v/>
      </c>
      <c r="L34" s="30" t="str">
        <f t="shared" si="2"/>
        <v/>
      </c>
      <c r="M34" s="29" t="str">
        <f t="shared" si="18"/>
        <v/>
      </c>
      <c r="N34" s="29" t="str">
        <f t="shared" si="22"/>
        <v/>
      </c>
      <c r="O34" s="29" t="str">
        <f t="shared" si="3"/>
        <v/>
      </c>
      <c r="P34" s="29" t="str">
        <f t="shared" si="4"/>
        <v/>
      </c>
      <c r="Q34" s="23" t="str">
        <f t="shared" si="5"/>
        <v/>
      </c>
      <c r="R34" s="5" t="str">
        <f t="shared" si="19"/>
        <v/>
      </c>
      <c r="S34" s="5" t="str">
        <f t="shared" si="20"/>
        <v/>
      </c>
      <c r="T34" s="5" t="str">
        <f t="shared" si="21"/>
        <v/>
      </c>
      <c r="U34" s="4" t="str">
        <f t="shared" si="6"/>
        <v xml:space="preserve"> </v>
      </c>
      <c r="V34" s="6" t="str">
        <f t="shared" si="7"/>
        <v xml:space="preserve"> </v>
      </c>
      <c r="W34" s="22" t="str">
        <f t="shared" si="8"/>
        <v/>
      </c>
      <c r="X34" s="22" t="str">
        <f t="shared" si="9"/>
        <v/>
      </c>
      <c r="Y34" s="22"/>
      <c r="AC34" s="2"/>
      <c r="AD34" s="2"/>
      <c r="AJ34" s="34"/>
      <c r="AK34" s="34"/>
      <c r="AL34" s="34"/>
    </row>
    <row r="35" spans="5:38" x14ac:dyDescent="0.25">
      <c r="E35" s="25" t="str">
        <f t="shared" si="13"/>
        <v xml:space="preserve"> </v>
      </c>
      <c r="F35" s="26" t="str">
        <f t="shared" si="14"/>
        <v xml:space="preserve"> </v>
      </c>
      <c r="G35" s="27" t="str">
        <f t="shared" si="15"/>
        <v xml:space="preserve"> </v>
      </c>
      <c r="H35" s="28" t="str">
        <f t="shared" si="0"/>
        <v xml:space="preserve"> </v>
      </c>
      <c r="I35" s="3" t="str">
        <f t="shared" si="16"/>
        <v xml:space="preserve"> </v>
      </c>
      <c r="J35" s="3" t="str">
        <f t="shared" si="1"/>
        <v xml:space="preserve"> </v>
      </c>
      <c r="K35" s="3" t="str">
        <f t="shared" si="17"/>
        <v/>
      </c>
      <c r="L35" s="30" t="str">
        <f t="shared" si="2"/>
        <v/>
      </c>
      <c r="M35" s="29" t="str">
        <f t="shared" si="18"/>
        <v/>
      </c>
      <c r="N35" s="29" t="str">
        <f t="shared" si="22"/>
        <v/>
      </c>
      <c r="O35" s="29" t="str">
        <f t="shared" si="3"/>
        <v/>
      </c>
      <c r="P35" s="29" t="str">
        <f t="shared" si="4"/>
        <v/>
      </c>
      <c r="Q35" s="23" t="str">
        <f t="shared" si="5"/>
        <v/>
      </c>
      <c r="R35" s="5" t="str">
        <f t="shared" si="19"/>
        <v/>
      </c>
      <c r="S35" s="5" t="str">
        <f t="shared" si="20"/>
        <v/>
      </c>
      <c r="T35" s="5" t="str">
        <f t="shared" si="21"/>
        <v/>
      </c>
      <c r="U35" s="4" t="str">
        <f t="shared" si="6"/>
        <v xml:space="preserve"> </v>
      </c>
      <c r="V35" s="6" t="str">
        <f t="shared" si="7"/>
        <v xml:space="preserve"> </v>
      </c>
      <c r="W35" s="22" t="str">
        <f t="shared" si="8"/>
        <v/>
      </c>
      <c r="X35" s="22" t="str">
        <f t="shared" si="9"/>
        <v/>
      </c>
      <c r="Y35" s="22"/>
      <c r="AC35" s="2"/>
      <c r="AD35" s="2"/>
      <c r="AJ35" s="34"/>
      <c r="AK35" s="34"/>
      <c r="AL35" s="34"/>
    </row>
    <row r="36" spans="5:38" x14ac:dyDescent="0.25">
      <c r="E36" s="25" t="str">
        <f t="shared" si="13"/>
        <v xml:space="preserve"> </v>
      </c>
      <c r="F36" s="26" t="str">
        <f t="shared" si="14"/>
        <v xml:space="preserve"> </v>
      </c>
      <c r="G36" s="27" t="str">
        <f t="shared" si="15"/>
        <v xml:space="preserve"> </v>
      </c>
      <c r="H36" s="28" t="str">
        <f t="shared" si="0"/>
        <v xml:space="preserve"> </v>
      </c>
      <c r="I36" s="3" t="str">
        <f t="shared" si="16"/>
        <v xml:space="preserve"> </v>
      </c>
      <c r="J36" s="3" t="str">
        <f t="shared" si="1"/>
        <v xml:space="preserve"> </v>
      </c>
      <c r="K36" s="3" t="str">
        <f t="shared" si="17"/>
        <v/>
      </c>
      <c r="L36" s="30" t="str">
        <f t="shared" si="2"/>
        <v/>
      </c>
      <c r="M36" s="29" t="str">
        <f t="shared" si="18"/>
        <v/>
      </c>
      <c r="N36" s="29" t="str">
        <f t="shared" si="22"/>
        <v/>
      </c>
      <c r="O36" s="29" t="str">
        <f t="shared" si="3"/>
        <v/>
      </c>
      <c r="P36" s="29" t="str">
        <f t="shared" si="4"/>
        <v/>
      </c>
      <c r="Q36" s="23" t="str">
        <f t="shared" ref="Q36:Q69" si="23">IFERROR(IF(IF(DAY(DATE(MID(F36,7,4),3,0))=29,366,365)=366,"Y","N"),"")</f>
        <v/>
      </c>
      <c r="R36" s="5" t="str">
        <f t="shared" si="19"/>
        <v/>
      </c>
      <c r="S36" s="5" t="str">
        <f t="shared" si="20"/>
        <v/>
      </c>
      <c r="T36" s="5" t="str">
        <f t="shared" si="21"/>
        <v/>
      </c>
      <c r="U36" s="4" t="str">
        <f t="shared" ref="U36:U69" si="24">IFERROR(IF(E36=" "," ",IF($E36&lt;=$C$16,SUM(S36-R36)*$C$14/IF(DAY(DATE(MID(S36,7,4),3,0))=29,366,365),SUM(S36-R36)*$C$15/IF(DAY(DATE(MID(S36,7,4),3,0))=29,366,365))),"")</f>
        <v xml:space="preserve"> </v>
      </c>
      <c r="V36" s="6" t="str">
        <f t="shared" ref="V36:V69" si="25">IFERROR(IF(E36=" "," ",IF($E36&lt;=$C$16,SUM(T36-S36)*$C$14/IF(DAY(DATE(MID(T36,7,4),3,0))=29,366,365),SUM(T36-S36)*$C$15/IF(DAY(DATE(MID(T36,7,4),3,0))=29,366,365))),"")</f>
        <v xml:space="preserve"> </v>
      </c>
      <c r="W36" s="22" t="str">
        <f t="shared" ref="W36:W69" si="26">IFERROR(TRUNC(U36*M36,2),"")</f>
        <v/>
      </c>
      <c r="X36" s="22" t="str">
        <f t="shared" ref="X36:X69" si="27">IFERROR(TRUNC(V36*M36,2),"")</f>
        <v/>
      </c>
      <c r="Y36" s="22"/>
      <c r="AC36" s="2"/>
      <c r="AD36" s="2"/>
      <c r="AJ36" s="34"/>
      <c r="AK36" s="34"/>
      <c r="AL36" s="34"/>
    </row>
    <row r="37" spans="5:38" x14ac:dyDescent="0.25">
      <c r="E37" s="25" t="str">
        <f t="shared" si="13"/>
        <v xml:space="preserve"> </v>
      </c>
      <c r="F37" s="26" t="str">
        <f t="shared" si="14"/>
        <v xml:space="preserve"> </v>
      </c>
      <c r="G37" s="27" t="str">
        <f t="shared" si="15"/>
        <v xml:space="preserve"> </v>
      </c>
      <c r="H37" s="28" t="str">
        <f t="shared" si="0"/>
        <v xml:space="preserve"> </v>
      </c>
      <c r="I37" s="3" t="str">
        <f t="shared" si="16"/>
        <v xml:space="preserve"> </v>
      </c>
      <c r="J37" s="3" t="str">
        <f t="shared" si="1"/>
        <v xml:space="preserve"> </v>
      </c>
      <c r="K37" s="3" t="str">
        <f t="shared" si="17"/>
        <v/>
      </c>
      <c r="L37" s="30" t="str">
        <f t="shared" si="2"/>
        <v/>
      </c>
      <c r="M37" s="29" t="str">
        <f t="shared" si="18"/>
        <v/>
      </c>
      <c r="N37" s="29" t="str">
        <f t="shared" si="22"/>
        <v/>
      </c>
      <c r="O37" s="29" t="str">
        <f t="shared" si="3"/>
        <v/>
      </c>
      <c r="P37" s="29" t="str">
        <f t="shared" si="4"/>
        <v/>
      </c>
      <c r="Q37" s="23" t="str">
        <f t="shared" si="23"/>
        <v/>
      </c>
      <c r="R37" s="5" t="str">
        <f t="shared" ref="R37:R68" si="28">TEXT(IF(AND(Q36="N",Q37="Y"),EDATE($F$4,E37-2),IF(AND(Q36="Y",Q37="N"),EDATE($F$4,E37-2),"")),"DD/MM/YYYY")</f>
        <v/>
      </c>
      <c r="S37" s="5" t="str">
        <f t="shared" si="20"/>
        <v/>
      </c>
      <c r="T37" s="5" t="str">
        <f t="shared" si="21"/>
        <v/>
      </c>
      <c r="U37" s="4" t="str">
        <f t="shared" si="24"/>
        <v xml:space="preserve"> </v>
      </c>
      <c r="V37" s="6" t="str">
        <f t="shared" si="25"/>
        <v xml:space="preserve"> </v>
      </c>
      <c r="W37" s="22" t="str">
        <f t="shared" si="26"/>
        <v/>
      </c>
      <c r="X37" s="22" t="str">
        <f t="shared" si="27"/>
        <v/>
      </c>
      <c r="Y37" s="22"/>
      <c r="AC37" s="2"/>
      <c r="AD37" s="2"/>
      <c r="AJ37" s="34"/>
      <c r="AK37" s="34"/>
      <c r="AL37" s="34"/>
    </row>
    <row r="38" spans="5:38" x14ac:dyDescent="0.25">
      <c r="E38" s="25" t="str">
        <f t="shared" si="13"/>
        <v xml:space="preserve"> </v>
      </c>
      <c r="F38" s="26" t="str">
        <f t="shared" si="14"/>
        <v xml:space="preserve"> </v>
      </c>
      <c r="G38" s="27" t="str">
        <f t="shared" si="15"/>
        <v xml:space="preserve"> </v>
      </c>
      <c r="H38" s="28" t="str">
        <f t="shared" si="0"/>
        <v xml:space="preserve"> </v>
      </c>
      <c r="I38" s="3" t="str">
        <f t="shared" si="16"/>
        <v xml:space="preserve"> </v>
      </c>
      <c r="J38" s="3" t="str">
        <f t="shared" si="1"/>
        <v xml:space="preserve"> </v>
      </c>
      <c r="K38" s="3" t="str">
        <f t="shared" si="17"/>
        <v/>
      </c>
      <c r="L38" s="30" t="str">
        <f t="shared" si="2"/>
        <v/>
      </c>
      <c r="M38" s="29" t="str">
        <f t="shared" si="18"/>
        <v/>
      </c>
      <c r="N38" s="29" t="str">
        <f t="shared" si="22"/>
        <v/>
      </c>
      <c r="O38" s="29" t="str">
        <f t="shared" si="3"/>
        <v/>
      </c>
      <c r="P38" s="29" t="str">
        <f t="shared" si="4"/>
        <v/>
      </c>
      <c r="Q38" s="23" t="str">
        <f t="shared" si="23"/>
        <v/>
      </c>
      <c r="R38" s="5" t="str">
        <f t="shared" si="28"/>
        <v/>
      </c>
      <c r="S38" s="5" t="str">
        <f t="shared" si="20"/>
        <v/>
      </c>
      <c r="T38" s="5" t="str">
        <f t="shared" si="21"/>
        <v/>
      </c>
      <c r="U38" s="4" t="str">
        <f t="shared" si="24"/>
        <v xml:space="preserve"> </v>
      </c>
      <c r="V38" s="6" t="str">
        <f t="shared" si="25"/>
        <v xml:space="preserve"> </v>
      </c>
      <c r="W38" s="22" t="str">
        <f t="shared" si="26"/>
        <v/>
      </c>
      <c r="X38" s="22" t="str">
        <f t="shared" si="27"/>
        <v/>
      </c>
      <c r="Y38" s="22"/>
      <c r="AC38" s="2"/>
      <c r="AD38" s="2"/>
      <c r="AJ38" s="34"/>
      <c r="AK38" s="34"/>
      <c r="AL38" s="34"/>
    </row>
    <row r="39" spans="5:38" x14ac:dyDescent="0.25">
      <c r="E39" s="25" t="str">
        <f t="shared" si="13"/>
        <v xml:space="preserve"> </v>
      </c>
      <c r="F39" s="26" t="str">
        <f t="shared" si="14"/>
        <v xml:space="preserve"> </v>
      </c>
      <c r="G39" s="27" t="str">
        <f t="shared" si="15"/>
        <v xml:space="preserve"> </v>
      </c>
      <c r="H39" s="28" t="str">
        <f t="shared" si="0"/>
        <v xml:space="preserve"> </v>
      </c>
      <c r="I39" s="3" t="str">
        <f t="shared" si="16"/>
        <v xml:space="preserve"> </v>
      </c>
      <c r="J39" s="3" t="str">
        <f t="shared" si="1"/>
        <v xml:space="preserve"> </v>
      </c>
      <c r="K39" s="3" t="str">
        <f t="shared" si="17"/>
        <v/>
      </c>
      <c r="L39" s="30" t="str">
        <f t="shared" si="2"/>
        <v/>
      </c>
      <c r="M39" s="29" t="str">
        <f t="shared" si="18"/>
        <v/>
      </c>
      <c r="N39" s="29" t="str">
        <f t="shared" si="22"/>
        <v/>
      </c>
      <c r="O39" s="29" t="str">
        <f t="shared" si="3"/>
        <v/>
      </c>
      <c r="P39" s="29" t="str">
        <f t="shared" si="4"/>
        <v/>
      </c>
      <c r="Q39" s="23" t="str">
        <f t="shared" si="23"/>
        <v/>
      </c>
      <c r="R39" s="5" t="str">
        <f t="shared" si="28"/>
        <v/>
      </c>
      <c r="S39" s="5" t="str">
        <f t="shared" si="20"/>
        <v/>
      </c>
      <c r="T39" s="5" t="str">
        <f t="shared" si="21"/>
        <v/>
      </c>
      <c r="U39" s="4" t="str">
        <f t="shared" si="24"/>
        <v xml:space="preserve"> </v>
      </c>
      <c r="V39" s="6" t="str">
        <f t="shared" si="25"/>
        <v xml:space="preserve"> </v>
      </c>
      <c r="W39" s="22" t="str">
        <f t="shared" si="26"/>
        <v/>
      </c>
      <c r="X39" s="22" t="str">
        <f t="shared" si="27"/>
        <v/>
      </c>
      <c r="Y39" s="22"/>
      <c r="AC39" s="2"/>
      <c r="AD39" s="2"/>
      <c r="AJ39" s="34"/>
      <c r="AK39" s="34"/>
      <c r="AL39" s="34"/>
    </row>
    <row r="40" spans="5:38" x14ac:dyDescent="0.25">
      <c r="E40" s="25" t="str">
        <f t="shared" si="13"/>
        <v xml:space="preserve"> </v>
      </c>
      <c r="F40" s="26" t="str">
        <f t="shared" si="14"/>
        <v xml:space="preserve"> </v>
      </c>
      <c r="G40" s="27" t="str">
        <f t="shared" si="15"/>
        <v xml:space="preserve"> </v>
      </c>
      <c r="H40" s="28" t="str">
        <f t="shared" si="0"/>
        <v xml:space="preserve"> </v>
      </c>
      <c r="I40" s="3" t="str">
        <f t="shared" si="16"/>
        <v xml:space="preserve"> </v>
      </c>
      <c r="J40" s="3" t="str">
        <f t="shared" si="1"/>
        <v xml:space="preserve"> </v>
      </c>
      <c r="K40" s="3" t="str">
        <f t="shared" si="17"/>
        <v/>
      </c>
      <c r="L40" s="30" t="str">
        <f t="shared" si="2"/>
        <v/>
      </c>
      <c r="M40" s="29" t="str">
        <f t="shared" si="18"/>
        <v/>
      </c>
      <c r="N40" s="29" t="str">
        <f t="shared" si="22"/>
        <v/>
      </c>
      <c r="O40" s="29" t="str">
        <f t="shared" si="3"/>
        <v/>
      </c>
      <c r="P40" s="29" t="str">
        <f t="shared" si="4"/>
        <v/>
      </c>
      <c r="Q40" s="23" t="str">
        <f t="shared" si="23"/>
        <v/>
      </c>
      <c r="R40" s="5" t="str">
        <f t="shared" si="28"/>
        <v/>
      </c>
      <c r="S40" s="5" t="str">
        <f t="shared" si="20"/>
        <v/>
      </c>
      <c r="T40" s="5" t="str">
        <f t="shared" si="21"/>
        <v/>
      </c>
      <c r="U40" s="4" t="str">
        <f t="shared" si="24"/>
        <v xml:space="preserve"> </v>
      </c>
      <c r="V40" s="6" t="str">
        <f t="shared" si="25"/>
        <v xml:space="preserve"> </v>
      </c>
      <c r="W40" s="22" t="str">
        <f t="shared" si="26"/>
        <v/>
      </c>
      <c r="X40" s="22" t="str">
        <f t="shared" si="27"/>
        <v/>
      </c>
      <c r="Y40" s="22"/>
      <c r="AC40" s="2"/>
      <c r="AD40" s="2"/>
      <c r="AJ40" s="34"/>
      <c r="AK40" s="34"/>
      <c r="AL40" s="34"/>
    </row>
    <row r="41" spans="5:38" x14ac:dyDescent="0.25">
      <c r="E41" s="25" t="str">
        <f t="shared" si="13"/>
        <v xml:space="preserve"> </v>
      </c>
      <c r="F41" s="26" t="str">
        <f t="shared" si="14"/>
        <v xml:space="preserve"> </v>
      </c>
      <c r="G41" s="27" t="str">
        <f t="shared" si="15"/>
        <v xml:space="preserve"> </v>
      </c>
      <c r="H41" s="28" t="str">
        <f t="shared" si="0"/>
        <v xml:space="preserve"> </v>
      </c>
      <c r="I41" s="3" t="str">
        <f t="shared" si="16"/>
        <v xml:space="preserve"> </v>
      </c>
      <c r="J41" s="3" t="str">
        <f t="shared" si="1"/>
        <v xml:space="preserve"> </v>
      </c>
      <c r="K41" s="3" t="str">
        <f t="shared" si="17"/>
        <v/>
      </c>
      <c r="L41" s="30" t="str">
        <f t="shared" si="2"/>
        <v/>
      </c>
      <c r="M41" s="29" t="str">
        <f t="shared" si="18"/>
        <v/>
      </c>
      <c r="N41" s="29" t="str">
        <f t="shared" si="22"/>
        <v/>
      </c>
      <c r="O41" s="29" t="str">
        <f t="shared" si="3"/>
        <v/>
      </c>
      <c r="P41" s="29" t="str">
        <f t="shared" si="4"/>
        <v/>
      </c>
      <c r="Q41" s="23" t="str">
        <f t="shared" si="23"/>
        <v/>
      </c>
      <c r="R41" s="5" t="str">
        <f t="shared" si="28"/>
        <v/>
      </c>
      <c r="S41" s="5" t="str">
        <f t="shared" si="20"/>
        <v/>
      </c>
      <c r="T41" s="5" t="str">
        <f t="shared" si="21"/>
        <v/>
      </c>
      <c r="U41" s="4" t="str">
        <f t="shared" si="24"/>
        <v xml:space="preserve"> </v>
      </c>
      <c r="V41" s="6" t="str">
        <f t="shared" si="25"/>
        <v xml:space="preserve"> </v>
      </c>
      <c r="W41" s="22" t="str">
        <f t="shared" si="26"/>
        <v/>
      </c>
      <c r="X41" s="22" t="str">
        <f t="shared" si="27"/>
        <v/>
      </c>
      <c r="Y41" s="22"/>
      <c r="AC41" s="2"/>
      <c r="AD41" s="2"/>
      <c r="AJ41" s="34"/>
      <c r="AK41" s="34"/>
      <c r="AL41" s="34"/>
    </row>
    <row r="42" spans="5:38" x14ac:dyDescent="0.25">
      <c r="E42" s="25" t="str">
        <f t="shared" si="13"/>
        <v xml:space="preserve"> </v>
      </c>
      <c r="F42" s="26" t="str">
        <f t="shared" si="14"/>
        <v xml:space="preserve"> </v>
      </c>
      <c r="G42" s="27" t="str">
        <f t="shared" si="15"/>
        <v xml:space="preserve"> </v>
      </c>
      <c r="H42" s="28" t="str">
        <f t="shared" si="0"/>
        <v xml:space="preserve"> </v>
      </c>
      <c r="I42" s="3" t="str">
        <f t="shared" si="16"/>
        <v xml:space="preserve"> </v>
      </c>
      <c r="J42" s="3" t="str">
        <f t="shared" si="1"/>
        <v xml:space="preserve"> </v>
      </c>
      <c r="K42" s="3" t="str">
        <f t="shared" si="17"/>
        <v/>
      </c>
      <c r="L42" s="30" t="str">
        <f t="shared" si="2"/>
        <v/>
      </c>
      <c r="M42" s="29" t="str">
        <f t="shared" si="18"/>
        <v/>
      </c>
      <c r="N42" s="29" t="str">
        <f t="shared" si="22"/>
        <v/>
      </c>
      <c r="O42" s="29" t="str">
        <f t="shared" si="3"/>
        <v/>
      </c>
      <c r="P42" s="29" t="str">
        <f t="shared" si="4"/>
        <v/>
      </c>
      <c r="Q42" s="23" t="str">
        <f t="shared" si="23"/>
        <v/>
      </c>
      <c r="R42" s="5" t="str">
        <f t="shared" si="28"/>
        <v/>
      </c>
      <c r="S42" s="5" t="str">
        <f t="shared" si="20"/>
        <v/>
      </c>
      <c r="T42" s="5" t="str">
        <f t="shared" si="21"/>
        <v/>
      </c>
      <c r="U42" s="4" t="str">
        <f t="shared" si="24"/>
        <v xml:space="preserve"> </v>
      </c>
      <c r="V42" s="6" t="str">
        <f t="shared" si="25"/>
        <v xml:space="preserve"> </v>
      </c>
      <c r="W42" s="22" t="str">
        <f t="shared" si="26"/>
        <v/>
      </c>
      <c r="X42" s="22" t="str">
        <f t="shared" si="27"/>
        <v/>
      </c>
      <c r="Y42" s="22"/>
      <c r="AC42" s="2"/>
      <c r="AD42" s="2"/>
      <c r="AJ42" s="34"/>
      <c r="AK42" s="34"/>
      <c r="AL42" s="34"/>
    </row>
    <row r="43" spans="5:38" x14ac:dyDescent="0.25">
      <c r="E43" s="25" t="str">
        <f t="shared" si="13"/>
        <v xml:space="preserve"> </v>
      </c>
      <c r="F43" s="26" t="str">
        <f t="shared" si="14"/>
        <v xml:space="preserve"> </v>
      </c>
      <c r="G43" s="27" t="str">
        <f t="shared" si="15"/>
        <v xml:space="preserve"> </v>
      </c>
      <c r="H43" s="28" t="str">
        <f t="shared" si="0"/>
        <v xml:space="preserve"> </v>
      </c>
      <c r="I43" s="3" t="str">
        <f t="shared" si="16"/>
        <v xml:space="preserve"> </v>
      </c>
      <c r="J43" s="3" t="str">
        <f t="shared" si="1"/>
        <v xml:space="preserve"> </v>
      </c>
      <c r="K43" s="3" t="str">
        <f t="shared" si="17"/>
        <v/>
      </c>
      <c r="L43" s="30" t="str">
        <f t="shared" si="2"/>
        <v/>
      </c>
      <c r="M43" s="29" t="str">
        <f t="shared" si="18"/>
        <v/>
      </c>
      <c r="N43" s="29" t="str">
        <f t="shared" si="22"/>
        <v/>
      </c>
      <c r="O43" s="29" t="str">
        <f t="shared" si="3"/>
        <v/>
      </c>
      <c r="P43" s="29" t="str">
        <f t="shared" si="4"/>
        <v/>
      </c>
      <c r="Q43" s="23" t="str">
        <f t="shared" si="23"/>
        <v/>
      </c>
      <c r="R43" s="5" t="str">
        <f t="shared" si="28"/>
        <v/>
      </c>
      <c r="S43" s="5" t="str">
        <f t="shared" si="20"/>
        <v/>
      </c>
      <c r="T43" s="5" t="str">
        <f t="shared" si="21"/>
        <v/>
      </c>
      <c r="U43" s="4" t="str">
        <f t="shared" si="24"/>
        <v xml:space="preserve"> </v>
      </c>
      <c r="V43" s="6" t="str">
        <f t="shared" si="25"/>
        <v xml:space="preserve"> </v>
      </c>
      <c r="W43" s="22" t="str">
        <f t="shared" si="26"/>
        <v/>
      </c>
      <c r="X43" s="22" t="str">
        <f t="shared" si="27"/>
        <v/>
      </c>
      <c r="Y43" s="22"/>
      <c r="AC43" s="2"/>
      <c r="AD43" s="2"/>
      <c r="AJ43" s="34"/>
      <c r="AK43" s="34"/>
      <c r="AL43" s="34"/>
    </row>
    <row r="44" spans="5:38" x14ac:dyDescent="0.25">
      <c r="E44" s="25" t="str">
        <f t="shared" si="13"/>
        <v xml:space="preserve"> </v>
      </c>
      <c r="F44" s="26" t="str">
        <f t="shared" si="14"/>
        <v xml:space="preserve"> </v>
      </c>
      <c r="G44" s="27" t="str">
        <f t="shared" si="15"/>
        <v xml:space="preserve"> </v>
      </c>
      <c r="H44" s="28" t="str">
        <f t="shared" si="0"/>
        <v xml:space="preserve"> </v>
      </c>
      <c r="I44" s="3" t="str">
        <f t="shared" si="16"/>
        <v xml:space="preserve"> </v>
      </c>
      <c r="J44" s="3" t="str">
        <f t="shared" si="1"/>
        <v xml:space="preserve"> </v>
      </c>
      <c r="K44" s="3" t="str">
        <f t="shared" si="17"/>
        <v/>
      </c>
      <c r="L44" s="30" t="str">
        <f t="shared" si="2"/>
        <v/>
      </c>
      <c r="M44" s="29" t="str">
        <f t="shared" si="18"/>
        <v/>
      </c>
      <c r="N44" s="29" t="str">
        <f t="shared" si="22"/>
        <v/>
      </c>
      <c r="O44" s="29" t="str">
        <f t="shared" si="3"/>
        <v/>
      </c>
      <c r="P44" s="29" t="str">
        <f t="shared" si="4"/>
        <v/>
      </c>
      <c r="Q44" s="23" t="str">
        <f t="shared" si="23"/>
        <v/>
      </c>
      <c r="R44" s="5" t="str">
        <f t="shared" si="28"/>
        <v/>
      </c>
      <c r="S44" s="5" t="str">
        <f t="shared" si="20"/>
        <v/>
      </c>
      <c r="T44" s="5" t="str">
        <f t="shared" si="21"/>
        <v/>
      </c>
      <c r="U44" s="4" t="str">
        <f t="shared" si="24"/>
        <v xml:space="preserve"> </v>
      </c>
      <c r="V44" s="6" t="str">
        <f t="shared" si="25"/>
        <v xml:space="preserve"> </v>
      </c>
      <c r="W44" s="22" t="str">
        <f t="shared" si="26"/>
        <v/>
      </c>
      <c r="X44" s="22" t="str">
        <f t="shared" si="27"/>
        <v/>
      </c>
      <c r="Y44" s="22"/>
      <c r="AC44" s="2"/>
      <c r="AD44" s="2"/>
      <c r="AJ44" s="34"/>
      <c r="AK44" s="34"/>
      <c r="AL44" s="34"/>
    </row>
    <row r="45" spans="5:38" x14ac:dyDescent="0.25">
      <c r="E45" s="25" t="str">
        <f t="shared" si="13"/>
        <v xml:space="preserve"> </v>
      </c>
      <c r="F45" s="26" t="str">
        <f t="shared" si="14"/>
        <v xml:space="preserve"> </v>
      </c>
      <c r="G45" s="27" t="str">
        <f t="shared" si="15"/>
        <v xml:space="preserve"> </v>
      </c>
      <c r="H45" s="28" t="str">
        <f t="shared" si="0"/>
        <v xml:space="preserve"> </v>
      </c>
      <c r="I45" s="3" t="str">
        <f t="shared" si="16"/>
        <v xml:space="preserve"> </v>
      </c>
      <c r="J45" s="3" t="str">
        <f t="shared" si="1"/>
        <v xml:space="preserve"> </v>
      </c>
      <c r="K45" s="3" t="str">
        <f t="shared" si="17"/>
        <v/>
      </c>
      <c r="L45" s="30" t="str">
        <f t="shared" si="2"/>
        <v/>
      </c>
      <c r="M45" s="29" t="str">
        <f t="shared" si="18"/>
        <v/>
      </c>
      <c r="N45" s="29" t="str">
        <f t="shared" si="22"/>
        <v/>
      </c>
      <c r="O45" s="29" t="str">
        <f t="shared" si="3"/>
        <v/>
      </c>
      <c r="P45" s="29" t="str">
        <f t="shared" si="4"/>
        <v/>
      </c>
      <c r="Q45" s="23" t="str">
        <f t="shared" si="23"/>
        <v/>
      </c>
      <c r="R45" s="5" t="str">
        <f t="shared" si="28"/>
        <v/>
      </c>
      <c r="S45" s="5" t="str">
        <f t="shared" si="20"/>
        <v/>
      </c>
      <c r="T45" s="5" t="str">
        <f t="shared" si="21"/>
        <v/>
      </c>
      <c r="U45" s="4" t="str">
        <f t="shared" si="24"/>
        <v xml:space="preserve"> </v>
      </c>
      <c r="V45" s="6" t="str">
        <f t="shared" si="25"/>
        <v xml:space="preserve"> </v>
      </c>
      <c r="W45" s="22" t="str">
        <f t="shared" si="26"/>
        <v/>
      </c>
      <c r="X45" s="22" t="str">
        <f t="shared" si="27"/>
        <v/>
      </c>
      <c r="Y45" s="22"/>
      <c r="AC45" s="2"/>
      <c r="AD45" s="2"/>
      <c r="AJ45" s="34"/>
      <c r="AK45" s="34"/>
      <c r="AL45" s="34"/>
    </row>
    <row r="46" spans="5:38" x14ac:dyDescent="0.25">
      <c r="E46" s="25" t="str">
        <f t="shared" si="13"/>
        <v xml:space="preserve"> </v>
      </c>
      <c r="F46" s="26" t="str">
        <f t="shared" si="14"/>
        <v xml:space="preserve"> </v>
      </c>
      <c r="G46" s="27" t="str">
        <f t="shared" si="15"/>
        <v xml:space="preserve"> </v>
      </c>
      <c r="H46" s="28" t="str">
        <f t="shared" si="0"/>
        <v xml:space="preserve"> </v>
      </c>
      <c r="I46" s="3" t="str">
        <f t="shared" si="16"/>
        <v xml:space="preserve"> </v>
      </c>
      <c r="J46" s="3" t="str">
        <f t="shared" si="1"/>
        <v xml:space="preserve"> </v>
      </c>
      <c r="K46" s="3" t="str">
        <f t="shared" si="17"/>
        <v/>
      </c>
      <c r="L46" s="30" t="str">
        <f t="shared" si="2"/>
        <v/>
      </c>
      <c r="M46" s="29" t="str">
        <f t="shared" si="18"/>
        <v/>
      </c>
      <c r="N46" s="29" t="str">
        <f t="shared" si="22"/>
        <v/>
      </c>
      <c r="O46" s="29" t="str">
        <f t="shared" si="3"/>
        <v/>
      </c>
      <c r="P46" s="29" t="str">
        <f t="shared" si="4"/>
        <v/>
      </c>
      <c r="Q46" s="23" t="str">
        <f t="shared" si="23"/>
        <v/>
      </c>
      <c r="R46" s="5" t="str">
        <f t="shared" si="28"/>
        <v/>
      </c>
      <c r="S46" s="5" t="str">
        <f t="shared" si="20"/>
        <v/>
      </c>
      <c r="T46" s="5" t="str">
        <f t="shared" si="21"/>
        <v/>
      </c>
      <c r="U46" s="4" t="str">
        <f t="shared" si="24"/>
        <v xml:space="preserve"> </v>
      </c>
      <c r="V46" s="6" t="str">
        <f t="shared" si="25"/>
        <v xml:space="preserve"> </v>
      </c>
      <c r="W46" s="22" t="str">
        <f t="shared" si="26"/>
        <v/>
      </c>
      <c r="X46" s="22" t="str">
        <f t="shared" si="27"/>
        <v/>
      </c>
      <c r="Y46" s="22"/>
      <c r="AC46" s="2"/>
      <c r="AD46" s="2"/>
      <c r="AJ46" s="34"/>
      <c r="AK46" s="34"/>
      <c r="AL46" s="34"/>
    </row>
    <row r="47" spans="5:38" x14ac:dyDescent="0.25">
      <c r="E47" s="25" t="str">
        <f t="shared" si="13"/>
        <v xml:space="preserve"> </v>
      </c>
      <c r="F47" s="26" t="str">
        <f t="shared" si="14"/>
        <v xml:space="preserve"> </v>
      </c>
      <c r="G47" s="27" t="str">
        <f t="shared" si="15"/>
        <v xml:space="preserve"> </v>
      </c>
      <c r="H47" s="28" t="str">
        <f t="shared" si="0"/>
        <v xml:space="preserve"> </v>
      </c>
      <c r="I47" s="3" t="str">
        <f t="shared" si="16"/>
        <v xml:space="preserve"> </v>
      </c>
      <c r="J47" s="3" t="str">
        <f t="shared" si="1"/>
        <v xml:space="preserve"> </v>
      </c>
      <c r="K47" s="3" t="str">
        <f t="shared" si="17"/>
        <v/>
      </c>
      <c r="L47" s="30" t="str">
        <f t="shared" si="2"/>
        <v/>
      </c>
      <c r="M47" s="29" t="str">
        <f t="shared" si="18"/>
        <v/>
      </c>
      <c r="N47" s="29" t="str">
        <f t="shared" si="22"/>
        <v/>
      </c>
      <c r="O47" s="29" t="str">
        <f t="shared" si="3"/>
        <v/>
      </c>
      <c r="P47" s="29" t="str">
        <f t="shared" si="4"/>
        <v/>
      </c>
      <c r="Q47" s="23" t="str">
        <f t="shared" si="23"/>
        <v/>
      </c>
      <c r="R47" s="5" t="str">
        <f t="shared" si="28"/>
        <v/>
      </c>
      <c r="S47" s="5" t="str">
        <f t="shared" si="20"/>
        <v/>
      </c>
      <c r="T47" s="5" t="str">
        <f t="shared" si="21"/>
        <v/>
      </c>
      <c r="U47" s="4" t="str">
        <f t="shared" si="24"/>
        <v xml:space="preserve"> </v>
      </c>
      <c r="V47" s="6" t="str">
        <f t="shared" si="25"/>
        <v xml:space="preserve"> </v>
      </c>
      <c r="W47" s="22" t="str">
        <f t="shared" si="26"/>
        <v/>
      </c>
      <c r="X47" s="22" t="str">
        <f t="shared" si="27"/>
        <v/>
      </c>
      <c r="Y47" s="22"/>
      <c r="AC47" s="2"/>
      <c r="AD47" s="2"/>
      <c r="AJ47" s="34"/>
      <c r="AK47" s="34"/>
      <c r="AL47" s="34"/>
    </row>
    <row r="48" spans="5:38" x14ac:dyDescent="0.25">
      <c r="E48" s="25" t="str">
        <f t="shared" si="13"/>
        <v xml:space="preserve"> </v>
      </c>
      <c r="F48" s="26" t="str">
        <f t="shared" si="14"/>
        <v xml:space="preserve"> </v>
      </c>
      <c r="G48" s="27" t="str">
        <f t="shared" si="15"/>
        <v xml:space="preserve"> </v>
      </c>
      <c r="H48" s="28" t="str">
        <f t="shared" si="0"/>
        <v xml:space="preserve"> </v>
      </c>
      <c r="I48" s="3" t="str">
        <f t="shared" si="16"/>
        <v xml:space="preserve"> </v>
      </c>
      <c r="J48" s="3" t="str">
        <f t="shared" si="1"/>
        <v xml:space="preserve"> </v>
      </c>
      <c r="K48" s="3" t="str">
        <f t="shared" si="17"/>
        <v/>
      </c>
      <c r="L48" s="30" t="str">
        <f t="shared" si="2"/>
        <v/>
      </c>
      <c r="M48" s="29" t="str">
        <f t="shared" si="18"/>
        <v/>
      </c>
      <c r="N48" s="29" t="str">
        <f t="shared" si="22"/>
        <v/>
      </c>
      <c r="O48" s="29" t="str">
        <f t="shared" si="3"/>
        <v/>
      </c>
      <c r="P48" s="29" t="str">
        <f t="shared" si="4"/>
        <v/>
      </c>
      <c r="Q48" s="23" t="str">
        <f t="shared" si="23"/>
        <v/>
      </c>
      <c r="R48" s="5" t="str">
        <f t="shared" si="28"/>
        <v/>
      </c>
      <c r="S48" s="5" t="str">
        <f t="shared" si="20"/>
        <v/>
      </c>
      <c r="T48" s="5" t="str">
        <f t="shared" si="21"/>
        <v/>
      </c>
      <c r="U48" s="4" t="str">
        <f t="shared" si="24"/>
        <v xml:space="preserve"> </v>
      </c>
      <c r="V48" s="6" t="str">
        <f t="shared" si="25"/>
        <v xml:space="preserve"> </v>
      </c>
      <c r="W48" s="22" t="str">
        <f t="shared" si="26"/>
        <v/>
      </c>
      <c r="X48" s="22" t="str">
        <f t="shared" si="27"/>
        <v/>
      </c>
      <c r="Y48" s="22"/>
      <c r="AC48" s="2"/>
      <c r="AD48" s="2"/>
      <c r="AJ48" s="34"/>
      <c r="AK48" s="34"/>
      <c r="AL48" s="34"/>
    </row>
    <row r="49" spans="5:38" x14ac:dyDescent="0.25">
      <c r="E49" s="25" t="str">
        <f t="shared" si="13"/>
        <v xml:space="preserve"> </v>
      </c>
      <c r="F49" s="26" t="str">
        <f t="shared" si="14"/>
        <v xml:space="preserve"> </v>
      </c>
      <c r="G49" s="27" t="str">
        <f t="shared" si="15"/>
        <v xml:space="preserve"> </v>
      </c>
      <c r="H49" s="28" t="str">
        <f t="shared" si="0"/>
        <v xml:space="preserve"> </v>
      </c>
      <c r="I49" s="3" t="str">
        <f t="shared" si="16"/>
        <v xml:space="preserve"> </v>
      </c>
      <c r="J49" s="3" t="str">
        <f t="shared" si="1"/>
        <v xml:space="preserve"> </v>
      </c>
      <c r="K49" s="3" t="str">
        <f t="shared" si="17"/>
        <v/>
      </c>
      <c r="L49" s="30" t="str">
        <f t="shared" si="2"/>
        <v/>
      </c>
      <c r="M49" s="29" t="str">
        <f t="shared" si="18"/>
        <v/>
      </c>
      <c r="N49" s="29" t="str">
        <f t="shared" si="22"/>
        <v/>
      </c>
      <c r="O49" s="29" t="str">
        <f t="shared" si="3"/>
        <v/>
      </c>
      <c r="P49" s="29" t="str">
        <f t="shared" si="4"/>
        <v/>
      </c>
      <c r="Q49" s="23" t="str">
        <f t="shared" si="23"/>
        <v/>
      </c>
      <c r="R49" s="5" t="str">
        <f t="shared" si="28"/>
        <v/>
      </c>
      <c r="S49" s="5" t="str">
        <f t="shared" si="20"/>
        <v/>
      </c>
      <c r="T49" s="5" t="str">
        <f t="shared" si="21"/>
        <v/>
      </c>
      <c r="U49" s="4" t="str">
        <f t="shared" si="24"/>
        <v xml:space="preserve"> </v>
      </c>
      <c r="V49" s="6" t="str">
        <f t="shared" si="25"/>
        <v xml:space="preserve"> </v>
      </c>
      <c r="W49" s="22" t="str">
        <f t="shared" si="26"/>
        <v/>
      </c>
      <c r="X49" s="22" t="str">
        <f t="shared" si="27"/>
        <v/>
      </c>
      <c r="Y49" s="22"/>
      <c r="AC49" s="2"/>
      <c r="AD49" s="2"/>
      <c r="AJ49" s="34"/>
      <c r="AK49" s="34"/>
      <c r="AL49" s="34"/>
    </row>
    <row r="50" spans="5:38" x14ac:dyDescent="0.25">
      <c r="E50" s="25" t="str">
        <f t="shared" si="13"/>
        <v xml:space="preserve"> </v>
      </c>
      <c r="F50" s="26" t="str">
        <f t="shared" si="14"/>
        <v xml:space="preserve"> </v>
      </c>
      <c r="G50" s="27" t="str">
        <f t="shared" si="15"/>
        <v xml:space="preserve"> </v>
      </c>
      <c r="H50" s="28" t="str">
        <f t="shared" si="0"/>
        <v xml:space="preserve"> </v>
      </c>
      <c r="I50" s="3" t="str">
        <f t="shared" si="16"/>
        <v xml:space="preserve"> </v>
      </c>
      <c r="J50" s="3" t="str">
        <f t="shared" si="1"/>
        <v xml:space="preserve"> </v>
      </c>
      <c r="K50" s="3" t="str">
        <f t="shared" si="17"/>
        <v/>
      </c>
      <c r="L50" s="30" t="str">
        <f t="shared" si="2"/>
        <v/>
      </c>
      <c r="M50" s="29" t="str">
        <f t="shared" si="18"/>
        <v/>
      </c>
      <c r="N50" s="29" t="str">
        <f t="shared" si="22"/>
        <v/>
      </c>
      <c r="O50" s="29" t="str">
        <f t="shared" si="3"/>
        <v/>
      </c>
      <c r="P50" s="29" t="str">
        <f t="shared" si="4"/>
        <v/>
      </c>
      <c r="Q50" s="23" t="str">
        <f t="shared" si="23"/>
        <v/>
      </c>
      <c r="R50" s="5" t="str">
        <f t="shared" si="28"/>
        <v/>
      </c>
      <c r="S50" s="5" t="str">
        <f t="shared" si="20"/>
        <v/>
      </c>
      <c r="T50" s="5" t="str">
        <f t="shared" si="21"/>
        <v/>
      </c>
      <c r="U50" s="4" t="str">
        <f t="shared" si="24"/>
        <v xml:space="preserve"> </v>
      </c>
      <c r="V50" s="6" t="str">
        <f t="shared" si="25"/>
        <v xml:space="preserve"> </v>
      </c>
      <c r="W50" s="22" t="str">
        <f t="shared" si="26"/>
        <v/>
      </c>
      <c r="X50" s="22" t="str">
        <f t="shared" si="27"/>
        <v/>
      </c>
      <c r="Y50" s="22"/>
      <c r="AC50" s="2"/>
      <c r="AD50" s="2"/>
      <c r="AJ50" s="34"/>
      <c r="AK50" s="34"/>
      <c r="AL50" s="34"/>
    </row>
    <row r="51" spans="5:38" x14ac:dyDescent="0.25">
      <c r="E51" s="25" t="str">
        <f t="shared" si="13"/>
        <v xml:space="preserve"> </v>
      </c>
      <c r="F51" s="26" t="str">
        <f t="shared" si="14"/>
        <v xml:space="preserve"> </v>
      </c>
      <c r="G51" s="27" t="str">
        <f t="shared" si="15"/>
        <v xml:space="preserve"> </v>
      </c>
      <c r="H51" s="28" t="str">
        <f t="shared" si="0"/>
        <v xml:space="preserve"> </v>
      </c>
      <c r="I51" s="3" t="str">
        <f t="shared" si="16"/>
        <v xml:space="preserve"> </v>
      </c>
      <c r="J51" s="3" t="str">
        <f t="shared" si="1"/>
        <v xml:space="preserve"> </v>
      </c>
      <c r="K51" s="3" t="str">
        <f t="shared" si="17"/>
        <v/>
      </c>
      <c r="L51" s="30" t="str">
        <f t="shared" si="2"/>
        <v/>
      </c>
      <c r="M51" s="29" t="str">
        <f t="shared" si="18"/>
        <v/>
      </c>
      <c r="N51" s="29" t="str">
        <f t="shared" si="22"/>
        <v/>
      </c>
      <c r="O51" s="29" t="str">
        <f t="shared" si="3"/>
        <v/>
      </c>
      <c r="P51" s="29" t="str">
        <f t="shared" si="4"/>
        <v/>
      </c>
      <c r="Q51" s="23" t="str">
        <f t="shared" si="23"/>
        <v/>
      </c>
      <c r="R51" s="5" t="str">
        <f t="shared" si="28"/>
        <v/>
      </c>
      <c r="S51" s="5" t="str">
        <f t="shared" si="20"/>
        <v/>
      </c>
      <c r="T51" s="5" t="str">
        <f t="shared" si="21"/>
        <v/>
      </c>
      <c r="U51" s="4" t="str">
        <f t="shared" si="24"/>
        <v xml:space="preserve"> </v>
      </c>
      <c r="V51" s="6" t="str">
        <f t="shared" si="25"/>
        <v xml:space="preserve"> </v>
      </c>
      <c r="W51" s="22" t="str">
        <f t="shared" si="26"/>
        <v/>
      </c>
      <c r="X51" s="22" t="str">
        <f t="shared" si="27"/>
        <v/>
      </c>
      <c r="Y51" s="22"/>
      <c r="AC51" s="2"/>
      <c r="AD51" s="2"/>
      <c r="AJ51" s="34"/>
      <c r="AK51" s="34"/>
      <c r="AL51" s="34"/>
    </row>
    <row r="52" spans="5:38" x14ac:dyDescent="0.25">
      <c r="E52" s="25" t="str">
        <f t="shared" si="13"/>
        <v xml:space="preserve"> </v>
      </c>
      <c r="F52" s="26" t="str">
        <f t="shared" si="14"/>
        <v xml:space="preserve"> </v>
      </c>
      <c r="G52" s="27" t="str">
        <f t="shared" si="15"/>
        <v xml:space="preserve"> </v>
      </c>
      <c r="H52" s="28" t="str">
        <f t="shared" si="0"/>
        <v xml:space="preserve"> </v>
      </c>
      <c r="I52" s="3" t="str">
        <f t="shared" si="16"/>
        <v xml:space="preserve"> </v>
      </c>
      <c r="J52" s="3" t="str">
        <f t="shared" si="1"/>
        <v xml:space="preserve"> </v>
      </c>
      <c r="K52" s="3" t="str">
        <f t="shared" si="17"/>
        <v/>
      </c>
      <c r="L52" s="30" t="str">
        <f t="shared" si="2"/>
        <v/>
      </c>
      <c r="M52" s="29" t="str">
        <f t="shared" si="18"/>
        <v/>
      </c>
      <c r="N52" s="29" t="str">
        <f t="shared" si="22"/>
        <v/>
      </c>
      <c r="O52" s="29" t="str">
        <f t="shared" si="3"/>
        <v/>
      </c>
      <c r="P52" s="29" t="str">
        <f t="shared" si="4"/>
        <v/>
      </c>
      <c r="Q52" s="23" t="str">
        <f t="shared" si="23"/>
        <v/>
      </c>
      <c r="R52" s="5" t="str">
        <f t="shared" si="28"/>
        <v/>
      </c>
      <c r="S52" s="5" t="str">
        <f t="shared" si="20"/>
        <v/>
      </c>
      <c r="T52" s="5" t="str">
        <f t="shared" si="21"/>
        <v/>
      </c>
      <c r="U52" s="4" t="str">
        <f t="shared" si="24"/>
        <v xml:space="preserve"> </v>
      </c>
      <c r="V52" s="6" t="str">
        <f t="shared" si="25"/>
        <v xml:space="preserve"> </v>
      </c>
      <c r="W52" s="22" t="str">
        <f t="shared" si="26"/>
        <v/>
      </c>
      <c r="X52" s="22" t="str">
        <f t="shared" si="27"/>
        <v/>
      </c>
      <c r="Y52" s="22"/>
      <c r="AC52" s="2"/>
      <c r="AD52" s="2"/>
      <c r="AJ52" s="34"/>
      <c r="AK52" s="34"/>
      <c r="AL52" s="34"/>
    </row>
    <row r="53" spans="5:38" x14ac:dyDescent="0.25">
      <c r="E53" s="25" t="str">
        <f t="shared" si="13"/>
        <v xml:space="preserve"> </v>
      </c>
      <c r="F53" s="26" t="str">
        <f t="shared" si="14"/>
        <v xml:space="preserve"> </v>
      </c>
      <c r="G53" s="27" t="str">
        <f t="shared" si="15"/>
        <v xml:space="preserve"> </v>
      </c>
      <c r="H53" s="28" t="str">
        <f t="shared" si="0"/>
        <v xml:space="preserve"> </v>
      </c>
      <c r="I53" s="3" t="str">
        <f t="shared" si="16"/>
        <v xml:space="preserve"> </v>
      </c>
      <c r="J53" s="3" t="str">
        <f t="shared" si="1"/>
        <v xml:space="preserve"> </v>
      </c>
      <c r="K53" s="3" t="str">
        <f t="shared" si="17"/>
        <v/>
      </c>
      <c r="L53" s="30" t="str">
        <f t="shared" si="2"/>
        <v/>
      </c>
      <c r="M53" s="29" t="str">
        <f t="shared" si="18"/>
        <v/>
      </c>
      <c r="N53" s="29" t="str">
        <f t="shared" si="22"/>
        <v/>
      </c>
      <c r="O53" s="29" t="str">
        <f t="shared" si="3"/>
        <v/>
      </c>
      <c r="P53" s="29" t="str">
        <f t="shared" si="4"/>
        <v/>
      </c>
      <c r="Q53" s="23" t="str">
        <f t="shared" si="23"/>
        <v/>
      </c>
      <c r="R53" s="5" t="str">
        <f t="shared" si="28"/>
        <v/>
      </c>
      <c r="S53" s="5" t="str">
        <f t="shared" si="20"/>
        <v/>
      </c>
      <c r="T53" s="5" t="str">
        <f t="shared" si="21"/>
        <v/>
      </c>
      <c r="U53" s="4" t="str">
        <f t="shared" si="24"/>
        <v xml:space="preserve"> </v>
      </c>
      <c r="V53" s="6" t="str">
        <f t="shared" si="25"/>
        <v xml:space="preserve"> </v>
      </c>
      <c r="W53" s="22" t="str">
        <f t="shared" si="26"/>
        <v/>
      </c>
      <c r="X53" s="22" t="str">
        <f t="shared" si="27"/>
        <v/>
      </c>
      <c r="Y53" s="22"/>
      <c r="AC53" s="2"/>
      <c r="AD53" s="2"/>
      <c r="AJ53" s="34"/>
      <c r="AK53" s="34"/>
      <c r="AL53" s="34"/>
    </row>
    <row r="54" spans="5:38" x14ac:dyDescent="0.25">
      <c r="E54" s="25" t="str">
        <f t="shared" si="13"/>
        <v xml:space="preserve"> </v>
      </c>
      <c r="F54" s="26" t="str">
        <f t="shared" si="14"/>
        <v xml:space="preserve"> </v>
      </c>
      <c r="G54" s="27" t="str">
        <f t="shared" si="15"/>
        <v xml:space="preserve"> </v>
      </c>
      <c r="H54" s="28" t="str">
        <f t="shared" si="0"/>
        <v xml:space="preserve"> </v>
      </c>
      <c r="I54" s="3" t="str">
        <f t="shared" si="16"/>
        <v xml:space="preserve"> </v>
      </c>
      <c r="J54" s="3" t="str">
        <f t="shared" si="1"/>
        <v xml:space="preserve"> </v>
      </c>
      <c r="K54" s="3" t="str">
        <f t="shared" si="17"/>
        <v/>
      </c>
      <c r="L54" s="30" t="str">
        <f t="shared" si="2"/>
        <v/>
      </c>
      <c r="M54" s="29" t="str">
        <f t="shared" si="18"/>
        <v/>
      </c>
      <c r="N54" s="29" t="str">
        <f t="shared" si="22"/>
        <v/>
      </c>
      <c r="O54" s="29" t="str">
        <f t="shared" si="3"/>
        <v/>
      </c>
      <c r="P54" s="29" t="str">
        <f t="shared" si="4"/>
        <v/>
      </c>
      <c r="Q54" s="23" t="str">
        <f t="shared" si="23"/>
        <v/>
      </c>
      <c r="R54" s="5" t="str">
        <f t="shared" si="28"/>
        <v/>
      </c>
      <c r="S54" s="5" t="str">
        <f t="shared" si="20"/>
        <v/>
      </c>
      <c r="T54" s="5" t="str">
        <f t="shared" si="21"/>
        <v/>
      </c>
      <c r="U54" s="4" t="str">
        <f t="shared" si="24"/>
        <v xml:space="preserve"> </v>
      </c>
      <c r="V54" s="6" t="str">
        <f t="shared" si="25"/>
        <v xml:space="preserve"> </v>
      </c>
      <c r="W54" s="22" t="str">
        <f t="shared" si="26"/>
        <v/>
      </c>
      <c r="X54" s="22" t="str">
        <f t="shared" si="27"/>
        <v/>
      </c>
      <c r="Y54" s="22"/>
      <c r="AC54" s="2"/>
      <c r="AD54" s="2"/>
      <c r="AJ54" s="34"/>
      <c r="AK54" s="34"/>
      <c r="AL54" s="34"/>
    </row>
    <row r="55" spans="5:38" x14ac:dyDescent="0.25">
      <c r="E55" s="25" t="str">
        <f t="shared" si="13"/>
        <v xml:space="preserve"> </v>
      </c>
      <c r="F55" s="26" t="str">
        <f t="shared" si="14"/>
        <v xml:space="preserve"> </v>
      </c>
      <c r="G55" s="27" t="str">
        <f t="shared" si="15"/>
        <v xml:space="preserve"> </v>
      </c>
      <c r="H55" s="28" t="str">
        <f t="shared" si="0"/>
        <v xml:space="preserve"> </v>
      </c>
      <c r="I55" s="3" t="str">
        <f t="shared" si="16"/>
        <v xml:space="preserve"> </v>
      </c>
      <c r="J55" s="3" t="str">
        <f t="shared" si="1"/>
        <v xml:space="preserve"> </v>
      </c>
      <c r="K55" s="3" t="str">
        <f t="shared" si="17"/>
        <v/>
      </c>
      <c r="L55" s="30" t="str">
        <f t="shared" si="2"/>
        <v/>
      </c>
      <c r="M55" s="29" t="str">
        <f t="shared" si="18"/>
        <v/>
      </c>
      <c r="N55" s="29" t="str">
        <f t="shared" si="22"/>
        <v/>
      </c>
      <c r="O55" s="29" t="str">
        <f t="shared" si="3"/>
        <v/>
      </c>
      <c r="P55" s="29" t="str">
        <f t="shared" si="4"/>
        <v/>
      </c>
      <c r="Q55" s="23" t="str">
        <f t="shared" si="23"/>
        <v/>
      </c>
      <c r="R55" s="5" t="str">
        <f t="shared" si="28"/>
        <v/>
      </c>
      <c r="S55" s="5" t="str">
        <f t="shared" si="20"/>
        <v/>
      </c>
      <c r="T55" s="5" t="str">
        <f t="shared" si="21"/>
        <v/>
      </c>
      <c r="U55" s="4" t="str">
        <f t="shared" si="24"/>
        <v xml:space="preserve"> </v>
      </c>
      <c r="V55" s="6" t="str">
        <f t="shared" si="25"/>
        <v xml:space="preserve"> </v>
      </c>
      <c r="W55" s="22" t="str">
        <f t="shared" si="26"/>
        <v/>
      </c>
      <c r="X55" s="22" t="str">
        <f t="shared" si="27"/>
        <v/>
      </c>
      <c r="Y55" s="22"/>
      <c r="AC55" s="2"/>
      <c r="AD55" s="2"/>
      <c r="AJ55" s="34"/>
      <c r="AK55" s="34"/>
      <c r="AL55" s="34"/>
    </row>
    <row r="56" spans="5:38" x14ac:dyDescent="0.25">
      <c r="E56" s="25" t="str">
        <f t="shared" si="13"/>
        <v xml:space="preserve"> </v>
      </c>
      <c r="F56" s="26" t="str">
        <f t="shared" si="14"/>
        <v xml:space="preserve"> </v>
      </c>
      <c r="G56" s="27" t="str">
        <f t="shared" si="15"/>
        <v xml:space="preserve"> </v>
      </c>
      <c r="H56" s="28" t="str">
        <f t="shared" si="0"/>
        <v xml:space="preserve"> </v>
      </c>
      <c r="I56" s="3" t="str">
        <f t="shared" si="16"/>
        <v xml:space="preserve"> </v>
      </c>
      <c r="J56" s="3" t="str">
        <f t="shared" si="1"/>
        <v xml:space="preserve"> </v>
      </c>
      <c r="K56" s="3" t="str">
        <f t="shared" si="17"/>
        <v/>
      </c>
      <c r="L56" s="30" t="str">
        <f t="shared" si="2"/>
        <v/>
      </c>
      <c r="M56" s="29" t="str">
        <f t="shared" si="18"/>
        <v/>
      </c>
      <c r="N56" s="29" t="str">
        <f t="shared" si="22"/>
        <v/>
      </c>
      <c r="O56" s="29" t="str">
        <f t="shared" si="3"/>
        <v/>
      </c>
      <c r="P56" s="29" t="str">
        <f t="shared" si="4"/>
        <v/>
      </c>
      <c r="Q56" s="23" t="str">
        <f t="shared" si="23"/>
        <v/>
      </c>
      <c r="R56" s="5" t="str">
        <f t="shared" si="28"/>
        <v/>
      </c>
      <c r="S56" s="5" t="str">
        <f t="shared" si="20"/>
        <v/>
      </c>
      <c r="T56" s="5" t="str">
        <f t="shared" si="21"/>
        <v/>
      </c>
      <c r="U56" s="4" t="str">
        <f t="shared" si="24"/>
        <v xml:space="preserve"> </v>
      </c>
      <c r="V56" s="6" t="str">
        <f t="shared" si="25"/>
        <v xml:space="preserve"> </v>
      </c>
      <c r="W56" s="22" t="str">
        <f t="shared" si="26"/>
        <v/>
      </c>
      <c r="X56" s="22" t="str">
        <f t="shared" si="27"/>
        <v/>
      </c>
      <c r="Y56" s="22"/>
      <c r="AC56" s="2"/>
      <c r="AD56" s="2"/>
      <c r="AJ56" s="34"/>
      <c r="AK56" s="34"/>
      <c r="AL56" s="34"/>
    </row>
    <row r="57" spans="5:38" x14ac:dyDescent="0.25">
      <c r="E57" s="25" t="str">
        <f t="shared" si="13"/>
        <v xml:space="preserve"> </v>
      </c>
      <c r="F57" s="26" t="str">
        <f t="shared" si="14"/>
        <v xml:space="preserve"> </v>
      </c>
      <c r="G57" s="27" t="str">
        <f t="shared" si="15"/>
        <v xml:space="preserve"> </v>
      </c>
      <c r="H57" s="28" t="str">
        <f t="shared" si="0"/>
        <v xml:space="preserve"> </v>
      </c>
      <c r="I57" s="3" t="str">
        <f t="shared" si="16"/>
        <v xml:space="preserve"> </v>
      </c>
      <c r="J57" s="3" t="str">
        <f t="shared" si="1"/>
        <v xml:space="preserve"> </v>
      </c>
      <c r="K57" s="3" t="str">
        <f t="shared" si="17"/>
        <v/>
      </c>
      <c r="L57" s="30" t="str">
        <f t="shared" si="2"/>
        <v/>
      </c>
      <c r="M57" s="29" t="str">
        <f t="shared" si="18"/>
        <v/>
      </c>
      <c r="N57" s="29" t="str">
        <f t="shared" si="22"/>
        <v/>
      </c>
      <c r="O57" s="29" t="str">
        <f t="shared" si="3"/>
        <v/>
      </c>
      <c r="P57" s="29" t="str">
        <f t="shared" si="4"/>
        <v/>
      </c>
      <c r="Q57" s="23" t="str">
        <f t="shared" si="23"/>
        <v/>
      </c>
      <c r="R57" s="5" t="str">
        <f t="shared" si="28"/>
        <v/>
      </c>
      <c r="S57" s="5" t="str">
        <f t="shared" si="20"/>
        <v/>
      </c>
      <c r="T57" s="5" t="str">
        <f t="shared" si="21"/>
        <v/>
      </c>
      <c r="U57" s="4" t="str">
        <f t="shared" si="24"/>
        <v xml:space="preserve"> </v>
      </c>
      <c r="V57" s="6" t="str">
        <f t="shared" si="25"/>
        <v xml:space="preserve"> </v>
      </c>
      <c r="W57" s="22" t="str">
        <f t="shared" si="26"/>
        <v/>
      </c>
      <c r="X57" s="22" t="str">
        <f t="shared" si="27"/>
        <v/>
      </c>
      <c r="Y57" s="22"/>
      <c r="AC57" s="2"/>
      <c r="AD57" s="2"/>
      <c r="AJ57" s="34"/>
      <c r="AK57" s="34"/>
      <c r="AL57" s="34"/>
    </row>
    <row r="58" spans="5:38" x14ac:dyDescent="0.25">
      <c r="E58" s="25" t="str">
        <f t="shared" si="13"/>
        <v xml:space="preserve"> </v>
      </c>
      <c r="F58" s="26" t="str">
        <f t="shared" si="14"/>
        <v xml:space="preserve"> </v>
      </c>
      <c r="G58" s="27" t="str">
        <f t="shared" si="15"/>
        <v xml:space="preserve"> </v>
      </c>
      <c r="H58" s="28" t="str">
        <f t="shared" si="0"/>
        <v xml:space="preserve"> </v>
      </c>
      <c r="I58" s="3" t="str">
        <f t="shared" si="16"/>
        <v xml:space="preserve"> </v>
      </c>
      <c r="J58" s="3" t="str">
        <f t="shared" si="1"/>
        <v xml:space="preserve"> </v>
      </c>
      <c r="K58" s="3" t="str">
        <f t="shared" si="17"/>
        <v/>
      </c>
      <c r="L58" s="30" t="str">
        <f t="shared" si="2"/>
        <v/>
      </c>
      <c r="M58" s="29" t="str">
        <f t="shared" si="18"/>
        <v/>
      </c>
      <c r="N58" s="29" t="str">
        <f t="shared" si="22"/>
        <v/>
      </c>
      <c r="O58" s="29" t="str">
        <f t="shared" si="3"/>
        <v/>
      </c>
      <c r="P58" s="29" t="str">
        <f t="shared" si="4"/>
        <v/>
      </c>
      <c r="Q58" s="23" t="str">
        <f t="shared" si="23"/>
        <v/>
      </c>
      <c r="R58" s="5" t="str">
        <f t="shared" si="28"/>
        <v/>
      </c>
      <c r="S58" s="5" t="str">
        <f t="shared" si="20"/>
        <v/>
      </c>
      <c r="T58" s="5" t="str">
        <f t="shared" si="21"/>
        <v/>
      </c>
      <c r="U58" s="4" t="str">
        <f t="shared" si="24"/>
        <v xml:space="preserve"> </v>
      </c>
      <c r="V58" s="6" t="str">
        <f t="shared" si="25"/>
        <v xml:space="preserve"> </v>
      </c>
      <c r="W58" s="22" t="str">
        <f t="shared" si="26"/>
        <v/>
      </c>
      <c r="X58" s="22" t="str">
        <f t="shared" si="27"/>
        <v/>
      </c>
      <c r="Y58" s="22"/>
      <c r="AC58" s="2"/>
      <c r="AD58" s="2"/>
      <c r="AJ58" s="34"/>
      <c r="AK58" s="34"/>
      <c r="AL58" s="34"/>
    </row>
    <row r="59" spans="5:38" x14ac:dyDescent="0.25">
      <c r="E59" s="25" t="str">
        <f t="shared" si="13"/>
        <v xml:space="preserve"> </v>
      </c>
      <c r="F59" s="26" t="str">
        <f t="shared" si="14"/>
        <v xml:space="preserve"> </v>
      </c>
      <c r="G59" s="27" t="str">
        <f t="shared" si="15"/>
        <v xml:space="preserve"> </v>
      </c>
      <c r="H59" s="28" t="str">
        <f t="shared" si="0"/>
        <v xml:space="preserve"> </v>
      </c>
      <c r="I59" s="3" t="str">
        <f t="shared" si="16"/>
        <v xml:space="preserve"> </v>
      </c>
      <c r="J59" s="3" t="str">
        <f t="shared" si="1"/>
        <v xml:space="preserve"> </v>
      </c>
      <c r="K59" s="3" t="str">
        <f t="shared" si="17"/>
        <v/>
      </c>
      <c r="L59" s="30" t="str">
        <f t="shared" si="2"/>
        <v/>
      </c>
      <c r="M59" s="29" t="str">
        <f t="shared" si="18"/>
        <v/>
      </c>
      <c r="N59" s="29" t="str">
        <f t="shared" si="22"/>
        <v/>
      </c>
      <c r="O59" s="29" t="str">
        <f t="shared" si="3"/>
        <v/>
      </c>
      <c r="P59" s="29" t="str">
        <f t="shared" si="4"/>
        <v/>
      </c>
      <c r="Q59" s="23" t="str">
        <f t="shared" si="23"/>
        <v/>
      </c>
      <c r="R59" s="5" t="str">
        <f t="shared" si="28"/>
        <v/>
      </c>
      <c r="S59" s="5" t="str">
        <f t="shared" si="20"/>
        <v/>
      </c>
      <c r="T59" s="5" t="str">
        <f t="shared" si="21"/>
        <v/>
      </c>
      <c r="U59" s="4" t="str">
        <f t="shared" si="24"/>
        <v xml:space="preserve"> </v>
      </c>
      <c r="V59" s="6" t="str">
        <f t="shared" si="25"/>
        <v xml:space="preserve"> </v>
      </c>
      <c r="W59" s="22" t="str">
        <f t="shared" si="26"/>
        <v/>
      </c>
      <c r="X59" s="22" t="str">
        <f t="shared" si="27"/>
        <v/>
      </c>
      <c r="Y59" s="22"/>
      <c r="AC59" s="2"/>
      <c r="AD59" s="2"/>
      <c r="AJ59" s="34"/>
      <c r="AK59" s="34"/>
      <c r="AL59" s="34"/>
    </row>
    <row r="60" spans="5:38" x14ac:dyDescent="0.25">
      <c r="E60" s="25" t="str">
        <f t="shared" si="13"/>
        <v xml:space="preserve"> </v>
      </c>
      <c r="F60" s="26" t="str">
        <f t="shared" si="14"/>
        <v xml:space="preserve"> </v>
      </c>
      <c r="G60" s="27" t="str">
        <f t="shared" si="15"/>
        <v xml:space="preserve"> </v>
      </c>
      <c r="H60" s="28" t="str">
        <f t="shared" si="0"/>
        <v xml:space="preserve"> </v>
      </c>
      <c r="I60" s="3" t="str">
        <f t="shared" si="16"/>
        <v xml:space="preserve"> </v>
      </c>
      <c r="J60" s="3" t="str">
        <f t="shared" si="1"/>
        <v xml:space="preserve"> </v>
      </c>
      <c r="K60" s="3" t="str">
        <f t="shared" si="17"/>
        <v/>
      </c>
      <c r="L60" s="30" t="str">
        <f t="shared" si="2"/>
        <v/>
      </c>
      <c r="M60" s="29" t="str">
        <f t="shared" si="18"/>
        <v/>
      </c>
      <c r="N60" s="29" t="str">
        <f t="shared" si="22"/>
        <v/>
      </c>
      <c r="O60" s="29" t="str">
        <f t="shared" si="3"/>
        <v/>
      </c>
      <c r="P60" s="29" t="str">
        <f t="shared" si="4"/>
        <v/>
      </c>
      <c r="Q60" s="23" t="str">
        <f t="shared" si="23"/>
        <v/>
      </c>
      <c r="R60" s="5" t="str">
        <f t="shared" si="28"/>
        <v/>
      </c>
      <c r="S60" s="5" t="str">
        <f t="shared" si="20"/>
        <v/>
      </c>
      <c r="T60" s="5" t="str">
        <f t="shared" si="21"/>
        <v/>
      </c>
      <c r="U60" s="4" t="str">
        <f t="shared" si="24"/>
        <v xml:space="preserve"> </v>
      </c>
      <c r="V60" s="6" t="str">
        <f t="shared" si="25"/>
        <v xml:space="preserve"> </v>
      </c>
      <c r="W60" s="22" t="str">
        <f t="shared" si="26"/>
        <v/>
      </c>
      <c r="X60" s="22" t="str">
        <f t="shared" si="27"/>
        <v/>
      </c>
      <c r="Y60" s="22"/>
      <c r="AC60" s="2"/>
      <c r="AD60" s="2"/>
      <c r="AJ60" s="34"/>
      <c r="AK60" s="34"/>
      <c r="AL60" s="34"/>
    </row>
    <row r="61" spans="5:38" x14ac:dyDescent="0.25">
      <c r="E61" s="25" t="str">
        <f t="shared" si="13"/>
        <v xml:space="preserve"> </v>
      </c>
      <c r="F61" s="26" t="str">
        <f t="shared" si="14"/>
        <v xml:space="preserve"> </v>
      </c>
      <c r="G61" s="27" t="str">
        <f t="shared" si="15"/>
        <v xml:space="preserve"> </v>
      </c>
      <c r="H61" s="28" t="str">
        <f t="shared" si="0"/>
        <v xml:space="preserve"> </v>
      </c>
      <c r="I61" s="3" t="str">
        <f t="shared" si="16"/>
        <v xml:space="preserve"> </v>
      </c>
      <c r="J61" s="3" t="str">
        <f t="shared" si="1"/>
        <v xml:space="preserve"> </v>
      </c>
      <c r="K61" s="3" t="str">
        <f t="shared" si="17"/>
        <v/>
      </c>
      <c r="L61" s="30" t="str">
        <f t="shared" si="2"/>
        <v/>
      </c>
      <c r="M61" s="29" t="str">
        <f t="shared" si="18"/>
        <v/>
      </c>
      <c r="N61" s="29" t="str">
        <f t="shared" si="22"/>
        <v/>
      </c>
      <c r="O61" s="29" t="str">
        <f t="shared" si="3"/>
        <v/>
      </c>
      <c r="P61" s="29" t="str">
        <f t="shared" si="4"/>
        <v/>
      </c>
      <c r="Q61" s="23" t="str">
        <f t="shared" si="23"/>
        <v/>
      </c>
      <c r="R61" s="5" t="str">
        <f t="shared" si="28"/>
        <v/>
      </c>
      <c r="S61" s="5" t="str">
        <f t="shared" si="20"/>
        <v/>
      </c>
      <c r="T61" s="5" t="str">
        <f t="shared" si="21"/>
        <v/>
      </c>
      <c r="U61" s="4" t="str">
        <f t="shared" si="24"/>
        <v xml:space="preserve"> </v>
      </c>
      <c r="V61" s="6" t="str">
        <f t="shared" si="25"/>
        <v xml:space="preserve"> </v>
      </c>
      <c r="W61" s="22" t="str">
        <f t="shared" si="26"/>
        <v/>
      </c>
      <c r="X61" s="22" t="str">
        <f t="shared" si="27"/>
        <v/>
      </c>
      <c r="Y61" s="22"/>
      <c r="AC61" s="2"/>
      <c r="AD61" s="2"/>
      <c r="AJ61" s="34"/>
      <c r="AK61" s="34"/>
      <c r="AL61" s="34"/>
    </row>
    <row r="62" spans="5:38" x14ac:dyDescent="0.25">
      <c r="E62" s="25" t="str">
        <f t="shared" si="13"/>
        <v xml:space="preserve"> </v>
      </c>
      <c r="F62" s="26" t="str">
        <f t="shared" si="14"/>
        <v xml:space="preserve"> </v>
      </c>
      <c r="G62" s="27" t="str">
        <f t="shared" si="15"/>
        <v xml:space="preserve"> </v>
      </c>
      <c r="H62" s="28" t="str">
        <f t="shared" si="0"/>
        <v xml:space="preserve"> </v>
      </c>
      <c r="I62" s="3" t="str">
        <f t="shared" si="16"/>
        <v xml:space="preserve"> </v>
      </c>
      <c r="J62" s="3" t="str">
        <f t="shared" si="1"/>
        <v xml:space="preserve"> </v>
      </c>
      <c r="K62" s="3" t="str">
        <f t="shared" si="17"/>
        <v/>
      </c>
      <c r="L62" s="30" t="str">
        <f t="shared" si="2"/>
        <v/>
      </c>
      <c r="M62" s="29" t="str">
        <f t="shared" si="18"/>
        <v/>
      </c>
      <c r="N62" s="29" t="str">
        <f t="shared" si="22"/>
        <v/>
      </c>
      <c r="O62" s="29" t="str">
        <f t="shared" si="3"/>
        <v/>
      </c>
      <c r="P62" s="29" t="str">
        <f t="shared" si="4"/>
        <v/>
      </c>
      <c r="Q62" s="23" t="str">
        <f t="shared" si="23"/>
        <v/>
      </c>
      <c r="R62" s="5" t="str">
        <f t="shared" si="28"/>
        <v/>
      </c>
      <c r="S62" s="5" t="str">
        <f t="shared" si="20"/>
        <v/>
      </c>
      <c r="T62" s="5" t="str">
        <f t="shared" si="21"/>
        <v/>
      </c>
      <c r="U62" s="4" t="str">
        <f t="shared" si="24"/>
        <v xml:space="preserve"> </v>
      </c>
      <c r="V62" s="6" t="str">
        <f t="shared" si="25"/>
        <v xml:space="preserve"> </v>
      </c>
      <c r="W62" s="22" t="str">
        <f t="shared" si="26"/>
        <v/>
      </c>
      <c r="X62" s="22" t="str">
        <f t="shared" si="27"/>
        <v/>
      </c>
      <c r="Y62" s="22"/>
      <c r="AC62" s="2"/>
      <c r="AD62" s="2"/>
      <c r="AJ62" s="34"/>
      <c r="AK62" s="34"/>
      <c r="AL62" s="34"/>
    </row>
    <row r="63" spans="5:38" x14ac:dyDescent="0.25">
      <c r="E63" s="25" t="str">
        <f t="shared" si="13"/>
        <v xml:space="preserve"> </v>
      </c>
      <c r="F63" s="26" t="str">
        <f t="shared" si="14"/>
        <v xml:space="preserve"> </v>
      </c>
      <c r="G63" s="27" t="str">
        <f t="shared" si="15"/>
        <v xml:space="preserve"> </v>
      </c>
      <c r="H63" s="28" t="str">
        <f t="shared" si="0"/>
        <v xml:space="preserve"> </v>
      </c>
      <c r="I63" s="3" t="str">
        <f t="shared" si="16"/>
        <v xml:space="preserve"> </v>
      </c>
      <c r="J63" s="3" t="str">
        <f t="shared" si="1"/>
        <v xml:space="preserve"> </v>
      </c>
      <c r="K63" s="3" t="str">
        <f t="shared" si="17"/>
        <v/>
      </c>
      <c r="L63" s="30" t="str">
        <f t="shared" si="2"/>
        <v/>
      </c>
      <c r="M63" s="29" t="str">
        <f t="shared" si="18"/>
        <v/>
      </c>
      <c r="N63" s="29" t="str">
        <f t="shared" si="22"/>
        <v/>
      </c>
      <c r="O63" s="29" t="str">
        <f t="shared" si="3"/>
        <v/>
      </c>
      <c r="P63" s="29" t="str">
        <f t="shared" si="4"/>
        <v/>
      </c>
      <c r="Q63" s="23" t="str">
        <f t="shared" si="23"/>
        <v/>
      </c>
      <c r="R63" s="5" t="str">
        <f t="shared" si="28"/>
        <v/>
      </c>
      <c r="S63" s="5" t="str">
        <f t="shared" si="20"/>
        <v/>
      </c>
      <c r="T63" s="5" t="str">
        <f t="shared" si="21"/>
        <v/>
      </c>
      <c r="U63" s="4" t="str">
        <f t="shared" si="24"/>
        <v xml:space="preserve"> </v>
      </c>
      <c r="V63" s="6" t="str">
        <f t="shared" si="25"/>
        <v xml:space="preserve"> </v>
      </c>
      <c r="W63" s="22" t="str">
        <f t="shared" si="26"/>
        <v/>
      </c>
      <c r="X63" s="22" t="str">
        <f t="shared" si="27"/>
        <v/>
      </c>
      <c r="Y63" s="22"/>
      <c r="AC63" s="2"/>
      <c r="AD63" s="2"/>
      <c r="AJ63" s="34"/>
      <c r="AK63" s="34"/>
      <c r="AL63" s="34"/>
    </row>
    <row r="64" spans="5:38" x14ac:dyDescent="0.25">
      <c r="E64" s="25" t="str">
        <f t="shared" si="13"/>
        <v xml:space="preserve"> </v>
      </c>
      <c r="F64" s="26" t="str">
        <f t="shared" si="14"/>
        <v xml:space="preserve"> </v>
      </c>
      <c r="G64" s="27" t="str">
        <f t="shared" si="15"/>
        <v xml:space="preserve"> </v>
      </c>
      <c r="H64" s="28" t="str">
        <f t="shared" si="0"/>
        <v xml:space="preserve"> </v>
      </c>
      <c r="I64" s="3" t="str">
        <f t="shared" si="16"/>
        <v xml:space="preserve"> </v>
      </c>
      <c r="J64" s="3" t="str">
        <f t="shared" si="1"/>
        <v xml:space="preserve"> </v>
      </c>
      <c r="K64" s="3" t="str">
        <f t="shared" si="17"/>
        <v/>
      </c>
      <c r="L64" s="30" t="str">
        <f t="shared" ref="L64:L69" si="29">IFERROR(ROUND(IF($C$18=" "," ",$C$13/K64),2),"")</f>
        <v/>
      </c>
      <c r="M64" s="29" t="str">
        <f t="shared" si="18"/>
        <v/>
      </c>
      <c r="N64" s="29" t="str">
        <f t="shared" si="22"/>
        <v/>
      </c>
      <c r="O64" s="29" t="str">
        <f t="shared" si="3"/>
        <v/>
      </c>
      <c r="P64" s="29" t="str">
        <f t="shared" si="4"/>
        <v/>
      </c>
      <c r="Q64" s="23" t="str">
        <f t="shared" si="23"/>
        <v/>
      </c>
      <c r="R64" s="5" t="str">
        <f t="shared" si="28"/>
        <v/>
      </c>
      <c r="S64" s="5" t="str">
        <f t="shared" si="20"/>
        <v/>
      </c>
      <c r="T64" s="5" t="str">
        <f t="shared" si="21"/>
        <v/>
      </c>
      <c r="U64" s="4" t="str">
        <f t="shared" si="24"/>
        <v xml:space="preserve"> </v>
      </c>
      <c r="V64" s="6" t="str">
        <f t="shared" si="25"/>
        <v xml:space="preserve"> </v>
      </c>
      <c r="W64" s="22" t="str">
        <f t="shared" si="26"/>
        <v/>
      </c>
      <c r="X64" s="22" t="str">
        <f t="shared" si="27"/>
        <v/>
      </c>
      <c r="Y64" s="22"/>
    </row>
    <row r="65" spans="5:25" x14ac:dyDescent="0.25">
      <c r="E65" s="25" t="str">
        <f t="shared" si="13"/>
        <v xml:space="preserve"> </v>
      </c>
      <c r="F65" s="26" t="str">
        <f t="shared" si="14"/>
        <v xml:space="preserve"> </v>
      </c>
      <c r="G65" s="27" t="str">
        <f t="shared" si="15"/>
        <v xml:space="preserve"> </v>
      </c>
      <c r="H65" s="28" t="str">
        <f t="shared" si="0"/>
        <v xml:space="preserve"> </v>
      </c>
      <c r="I65" s="3" t="str">
        <f t="shared" si="16"/>
        <v xml:space="preserve"> </v>
      </c>
      <c r="J65" s="3" t="str">
        <f t="shared" si="1"/>
        <v xml:space="preserve"> </v>
      </c>
      <c r="K65" s="3" t="str">
        <f t="shared" si="17"/>
        <v/>
      </c>
      <c r="L65" s="30" t="str">
        <f t="shared" si="29"/>
        <v/>
      </c>
      <c r="M65" s="29" t="str">
        <f t="shared" si="18"/>
        <v/>
      </c>
      <c r="N65" s="29" t="str">
        <f t="shared" si="22"/>
        <v/>
      </c>
      <c r="O65" s="29" t="str">
        <f t="shared" si="3"/>
        <v/>
      </c>
      <c r="P65" s="29" t="str">
        <f t="shared" si="4"/>
        <v/>
      </c>
      <c r="Q65" s="23" t="str">
        <f t="shared" si="23"/>
        <v/>
      </c>
      <c r="R65" s="5" t="str">
        <f t="shared" si="28"/>
        <v/>
      </c>
      <c r="S65" s="5" t="str">
        <f t="shared" si="20"/>
        <v/>
      </c>
      <c r="T65" s="5" t="str">
        <f t="shared" si="21"/>
        <v/>
      </c>
      <c r="U65" s="4" t="str">
        <f t="shared" si="24"/>
        <v xml:space="preserve"> </v>
      </c>
      <c r="V65" s="6" t="str">
        <f t="shared" si="25"/>
        <v xml:space="preserve"> </v>
      </c>
      <c r="W65" s="22" t="str">
        <f t="shared" si="26"/>
        <v/>
      </c>
      <c r="X65" s="22" t="str">
        <f t="shared" si="27"/>
        <v/>
      </c>
      <c r="Y65" s="22"/>
    </row>
    <row r="66" spans="5:25" x14ac:dyDescent="0.25">
      <c r="E66" s="25" t="str">
        <f t="shared" si="13"/>
        <v xml:space="preserve"> </v>
      </c>
      <c r="F66" s="26" t="str">
        <f t="shared" si="14"/>
        <v xml:space="preserve"> </v>
      </c>
      <c r="G66" s="27" t="str">
        <f t="shared" si="15"/>
        <v xml:space="preserve"> </v>
      </c>
      <c r="H66" s="28" t="str">
        <f t="shared" si="0"/>
        <v xml:space="preserve"> </v>
      </c>
      <c r="I66" s="3" t="str">
        <f t="shared" si="16"/>
        <v xml:space="preserve"> </v>
      </c>
      <c r="J66" s="3" t="str">
        <f t="shared" si="1"/>
        <v xml:space="preserve"> </v>
      </c>
      <c r="K66" s="3" t="str">
        <f t="shared" si="17"/>
        <v/>
      </c>
      <c r="L66" s="30" t="str">
        <f t="shared" si="29"/>
        <v/>
      </c>
      <c r="M66" s="29" t="str">
        <f t="shared" si="18"/>
        <v/>
      </c>
      <c r="N66" s="29" t="str">
        <f t="shared" si="22"/>
        <v/>
      </c>
      <c r="O66" s="29" t="str">
        <f t="shared" si="3"/>
        <v/>
      </c>
      <c r="P66" s="29" t="str">
        <f t="shared" si="4"/>
        <v/>
      </c>
      <c r="Q66" s="23" t="str">
        <f t="shared" si="23"/>
        <v/>
      </c>
      <c r="R66" s="5" t="str">
        <f t="shared" si="28"/>
        <v/>
      </c>
      <c r="S66" s="5" t="str">
        <f t="shared" si="20"/>
        <v/>
      </c>
      <c r="T66" s="5" t="str">
        <f t="shared" si="21"/>
        <v/>
      </c>
      <c r="U66" s="4" t="str">
        <f t="shared" si="24"/>
        <v xml:space="preserve"> </v>
      </c>
      <c r="V66" s="6" t="str">
        <f t="shared" si="25"/>
        <v xml:space="preserve"> </v>
      </c>
      <c r="W66" s="22" t="str">
        <f t="shared" si="26"/>
        <v/>
      </c>
      <c r="X66" s="22" t="str">
        <f t="shared" si="27"/>
        <v/>
      </c>
      <c r="Y66" s="22"/>
    </row>
    <row r="67" spans="5:25" x14ac:dyDescent="0.25">
      <c r="E67" s="25" t="str">
        <f t="shared" si="13"/>
        <v xml:space="preserve"> </v>
      </c>
      <c r="F67" s="26" t="str">
        <f t="shared" si="14"/>
        <v xml:space="preserve"> </v>
      </c>
      <c r="G67" s="27" t="str">
        <f t="shared" si="15"/>
        <v xml:space="preserve"> </v>
      </c>
      <c r="H67" s="28" t="str">
        <f t="shared" si="0"/>
        <v xml:space="preserve"> </v>
      </c>
      <c r="I67" s="3" t="str">
        <f t="shared" si="16"/>
        <v xml:space="preserve"> </v>
      </c>
      <c r="J67" s="3" t="str">
        <f t="shared" si="1"/>
        <v xml:space="preserve"> </v>
      </c>
      <c r="K67" s="3" t="str">
        <f t="shared" si="17"/>
        <v/>
      </c>
      <c r="L67" s="30" t="str">
        <f t="shared" si="29"/>
        <v/>
      </c>
      <c r="M67" s="29" t="str">
        <f t="shared" si="18"/>
        <v/>
      </c>
      <c r="N67" s="29" t="str">
        <f t="shared" si="22"/>
        <v/>
      </c>
      <c r="O67" s="29" t="str">
        <f t="shared" si="3"/>
        <v/>
      </c>
      <c r="P67" s="29" t="str">
        <f t="shared" si="4"/>
        <v/>
      </c>
      <c r="Q67" s="23" t="str">
        <f t="shared" si="23"/>
        <v/>
      </c>
      <c r="R67" s="5" t="str">
        <f t="shared" si="28"/>
        <v/>
      </c>
      <c r="S67" s="5" t="str">
        <f t="shared" si="20"/>
        <v/>
      </c>
      <c r="T67" s="5" t="str">
        <f t="shared" si="21"/>
        <v/>
      </c>
      <c r="U67" s="4" t="str">
        <f t="shared" si="24"/>
        <v xml:space="preserve"> </v>
      </c>
      <c r="V67" s="6" t="str">
        <f t="shared" si="25"/>
        <v xml:space="preserve"> </v>
      </c>
      <c r="W67" s="22" t="str">
        <f t="shared" si="26"/>
        <v/>
      </c>
      <c r="X67" s="22" t="str">
        <f t="shared" si="27"/>
        <v/>
      </c>
      <c r="Y67" s="22"/>
    </row>
    <row r="68" spans="5:25" x14ac:dyDescent="0.25">
      <c r="E68" s="25" t="str">
        <f t="shared" si="13"/>
        <v xml:space="preserve"> </v>
      </c>
      <c r="F68" s="26" t="str">
        <f t="shared" si="14"/>
        <v xml:space="preserve"> </v>
      </c>
      <c r="G68" s="27" t="str">
        <f t="shared" si="15"/>
        <v xml:space="preserve"> </v>
      </c>
      <c r="H68" s="28" t="str">
        <f t="shared" ref="H68:H69" si="30">IFERROR(IF(E68=" "," ",IF($E68&lt;=$C$16,$G68*$C$14/IF(DAY(DATE(MID(F68,7,4),3,0))=29,366,365),$G68*$C$15/IF(DAY(DATE(MID(F68,7,4),3,0))=29,366,365))),"")</f>
        <v xml:space="preserve"> </v>
      </c>
      <c r="I68" s="3" t="str">
        <f t="shared" si="16"/>
        <v xml:space="preserve"> </v>
      </c>
      <c r="J68" s="3" t="str">
        <f t="shared" ref="J68:J69" si="31">IFERROR(IF($C$18=" "," ",1/(1+I68))," ")</f>
        <v xml:space="preserve"> </v>
      </c>
      <c r="K68" s="3" t="str">
        <f t="shared" si="17"/>
        <v/>
      </c>
      <c r="L68" s="30" t="str">
        <f t="shared" si="29"/>
        <v/>
      </c>
      <c r="M68" s="29" t="str">
        <f t="shared" si="18"/>
        <v/>
      </c>
      <c r="N68" s="29" t="str">
        <f t="shared" si="22"/>
        <v/>
      </c>
      <c r="O68" s="29" t="str">
        <f t="shared" ref="O68:O69" si="32">IFERROR(IF($C$17=E68,M68,TRUNC($C$19-N68,2)),"")</f>
        <v/>
      </c>
      <c r="P68" s="29" t="str">
        <f t="shared" ref="P68:P69" si="33">IF(TRUNC(SUM(N68:O68),2)&lt;=0,"",TRUNC(SUM(N68:O68),2))</f>
        <v/>
      </c>
      <c r="Q68" s="23" t="str">
        <f t="shared" si="23"/>
        <v/>
      </c>
      <c r="R68" s="5" t="str">
        <f t="shared" si="28"/>
        <v/>
      </c>
      <c r="S68" s="5" t="str">
        <f t="shared" si="20"/>
        <v/>
      </c>
      <c r="T68" s="5" t="str">
        <f t="shared" si="21"/>
        <v/>
      </c>
      <c r="U68" s="4" t="str">
        <f t="shared" si="24"/>
        <v xml:space="preserve"> </v>
      </c>
      <c r="V68" s="6" t="str">
        <f t="shared" si="25"/>
        <v xml:space="preserve"> </v>
      </c>
      <c r="W68" s="22" t="str">
        <f t="shared" si="26"/>
        <v/>
      </c>
      <c r="X68" s="22" t="str">
        <f t="shared" si="27"/>
        <v/>
      </c>
      <c r="Y68" s="22"/>
    </row>
    <row r="69" spans="5:25" x14ac:dyDescent="0.25">
      <c r="E69" s="25" t="str">
        <f t="shared" ref="E69" si="34">IFERROR(IF($E68&lt;$C$17,E68+1," "),"")</f>
        <v xml:space="preserve"> </v>
      </c>
      <c r="F69" s="26" t="str">
        <f t="shared" ref="F69" si="35">IFERROR(TEXT(IF($E69&lt;=$C$17,EDATE($F$4,E69 - 1)," "),"DD/MM/YYYY"),"")</f>
        <v xml:space="preserve"> </v>
      </c>
      <c r="G69" s="27" t="str">
        <f t="shared" ref="G69" si="36">IFERROR(IF(E69=" "," ",F69-F68),"")</f>
        <v xml:space="preserve"> </v>
      </c>
      <c r="H69" s="28" t="str">
        <f t="shared" si="30"/>
        <v xml:space="preserve"> </v>
      </c>
      <c r="I69" s="3" t="str">
        <f t="shared" ref="I69" si="37">IFERROR(IF(E69=" "," ",ROUND(I68+H69+(I68*H69),6)),"")</f>
        <v xml:space="preserve"> </v>
      </c>
      <c r="J69" s="3" t="str">
        <f t="shared" si="31"/>
        <v xml:space="preserve"> </v>
      </c>
      <c r="K69" s="3" t="str">
        <f t="shared" ref="K69" si="38">IFERROR(IF($C$18=" "," ",K68+J69),"")</f>
        <v/>
      </c>
      <c r="L69" s="30" t="str">
        <f t="shared" si="29"/>
        <v/>
      </c>
      <c r="M69" s="29" t="str">
        <f t="shared" ref="M69" si="39">IFERROR(IF(IF($M68&gt;0,($M68-$O68)," ")&lt;=0,"",IF($M68&gt;0,($M68-$O68)," ")),"")</f>
        <v/>
      </c>
      <c r="N69" s="29" t="str">
        <f t="shared" si="22"/>
        <v/>
      </c>
      <c r="O69" s="29" t="str">
        <f t="shared" si="32"/>
        <v/>
      </c>
      <c r="P69" s="29" t="str">
        <f t="shared" si="33"/>
        <v/>
      </c>
      <c r="Q69" s="23" t="str">
        <f t="shared" si="23"/>
        <v/>
      </c>
      <c r="R69" s="5" t="str">
        <f t="shared" ref="R69:R100" si="40">TEXT(IF(AND(Q68="N",Q69="Y"),EDATE($F$4,E69-2),IF(AND(Q68="Y",Q69="N"),EDATE($F$4,E69-2),"")),"DD/MM/YYYY")</f>
        <v/>
      </c>
      <c r="S69" s="5" t="str">
        <f t="shared" ref="S69" si="41">TEXT(IFERROR(DATE(YEAR(R69),12,31),""),"DD/MM/YYYY")</f>
        <v/>
      </c>
      <c r="T69" s="5" t="str">
        <f t="shared" ref="T69" si="42">TEXT(IFERROR(EDATE($R69,1),""),"DD/MM/YYYY")</f>
        <v/>
      </c>
      <c r="U69" s="4" t="str">
        <f t="shared" si="24"/>
        <v xml:space="preserve"> </v>
      </c>
      <c r="V69" s="6" t="str">
        <f t="shared" si="25"/>
        <v xml:space="preserve"> </v>
      </c>
      <c r="W69" s="22" t="str">
        <f t="shared" si="26"/>
        <v/>
      </c>
      <c r="X69" s="22" t="str">
        <f t="shared" si="27"/>
        <v/>
      </c>
      <c r="Y69" s="22"/>
    </row>
  </sheetData>
  <sheetProtection algorithmName="SHA-512" hashValue="9/SGGye/bR8ESfKMyLtGlgB7+3vaRPoJO0DVziU5BLUk2HFwaroVJpJrFc9qZ3CiwYTWbWvV0UQn0eQTLTiQWg==" saltValue="r02CIBioyxGUzhqZuCCJSg==" spinCount="100000" sheet="1" objects="1" scenarios="1"/>
  <mergeCells count="5">
    <mergeCell ref="E2:P2"/>
    <mergeCell ref="Z3:AH3"/>
    <mergeCell ref="AJ3:AL3"/>
    <mergeCell ref="B5:C5"/>
    <mergeCell ref="B9:C9"/>
  </mergeCells>
  <conditionalFormatting sqref="Q4">
    <cfRule type="cellIs" dxfId="24" priority="5" operator="equal">
      <formula>"Y"</formula>
    </cfRule>
  </conditionalFormatting>
  <conditionalFormatting sqref="Q5:Q69 M5:P5 M10:M69 O10:P69 M6:M8 O6:P8 M4:Q4 N6:N69">
    <cfRule type="cellIs" dxfId="23" priority="4" operator="equal">
      <formula>"Y"</formula>
    </cfRule>
  </conditionalFormatting>
  <conditionalFormatting sqref="M9 O9:P9">
    <cfRule type="cellIs" dxfId="22" priority="3" operator="equal">
      <formula>"Y"</formula>
    </cfRule>
  </conditionalFormatting>
  <conditionalFormatting sqref="AJ4:AL63">
    <cfRule type="cellIs" dxfId="21" priority="1" operator="greaterThan">
      <formula>0</formula>
    </cfRule>
    <cfRule type="cellIs" dxfId="2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L69"/>
  <sheetViews>
    <sheetView showGridLines="0" topLeftCell="C1" zoomScale="85" zoomScaleNormal="85" workbookViewId="0">
      <selection activeCell="C8" sqref="C8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8" style="22" hidden="1" customWidth="1"/>
    <col min="18" max="18" width="11.7109375" style="1" hidden="1" customWidth="1"/>
    <col min="19" max="19" width="16.140625" style="1" hidden="1" customWidth="1"/>
    <col min="20" max="20" width="11.28515625" style="1" hidden="1" customWidth="1"/>
    <col min="21" max="21" width="8.7109375" style="1" hidden="1" customWidth="1"/>
    <col min="22" max="22" width="12.28515625" style="1" hidden="1" customWidth="1"/>
    <col min="23" max="24" width="6.140625" style="1" hidden="1" customWidth="1"/>
    <col min="25" max="25" width="2.5703125" style="1" customWidth="1"/>
    <col min="26" max="26" width="3.140625" style="1" bestFit="1" customWidth="1"/>
    <col min="27" max="27" width="2.140625" style="1" bestFit="1" customWidth="1"/>
    <col min="28" max="28" width="11" style="1" bestFit="1" customWidth="1"/>
    <col min="29" max="30" width="10.85546875" style="1" bestFit="1" customWidth="1"/>
    <col min="31" max="33" width="9" style="36" bestFit="1" customWidth="1"/>
    <col min="34" max="34" width="8" style="36" bestFit="1" customWidth="1"/>
    <col min="35" max="35" width="2.7109375" style="1" customWidth="1"/>
    <col min="36" max="36" width="11.85546875" style="1" bestFit="1" customWidth="1"/>
    <col min="37" max="16384" width="11.42578125" style="1"/>
  </cols>
  <sheetData>
    <row r="1" spans="2:38" x14ac:dyDescent="0.25">
      <c r="F1" s="1"/>
      <c r="G1" s="1"/>
      <c r="Q1" s="1"/>
    </row>
    <row r="2" spans="2:38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24"/>
      <c r="R2" s="24"/>
      <c r="S2" s="24"/>
      <c r="T2" s="24"/>
      <c r="U2" s="24"/>
      <c r="V2" s="24"/>
      <c r="W2" s="24"/>
      <c r="X2" s="24"/>
      <c r="Y2" s="35"/>
    </row>
    <row r="3" spans="2:38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1" t="s">
        <v>22</v>
      </c>
      <c r="Q3" s="19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1" t="s">
        <v>30</v>
      </c>
      <c r="Y3" s="22"/>
      <c r="Z3" s="40" t="s">
        <v>40</v>
      </c>
      <c r="AA3" s="41"/>
      <c r="AB3" s="41"/>
      <c r="AC3" s="41"/>
      <c r="AD3" s="41"/>
      <c r="AE3" s="41"/>
      <c r="AF3" s="41"/>
      <c r="AG3" s="41"/>
      <c r="AH3" s="42"/>
      <c r="AJ3" s="40" t="s">
        <v>39</v>
      </c>
      <c r="AK3" s="41"/>
      <c r="AL3" s="42"/>
    </row>
    <row r="4" spans="2:38" x14ac:dyDescent="0.25">
      <c r="E4" s="25">
        <f>IFERROR(IF($C$18&gt;0,1," "),"")</f>
        <v>1</v>
      </c>
      <c r="F4" s="26" t="str">
        <f>IFERROR(IF(C18&gt;0,TEXT(IF($E$4&gt;0,C18," "),"DD/MM/YYYY")," "),"")</f>
        <v>09/12/2019</v>
      </c>
      <c r="G4" s="27">
        <f>IFERROR(IF(E4=" "," ",F4-$C$11),"")</f>
        <v>-60</v>
      </c>
      <c r="H4" s="28">
        <f t="shared" ref="H4:H67" si="0">IFERROR(IF(E4=" "," ",IF($E4&lt;=$C$16,$G4*$C$14/IF(DAY(DATE(MID(F4,7,4),3,0))=29,366,365),$G4*$C$15/IF(DAY(DATE(MID(F4,7,4),3,0))=29,366,365))),"")</f>
        <v>-2.6286904109589043E-2</v>
      </c>
      <c r="I4" s="3">
        <f>IFERROR(IF(E4=" "," ",J1+H4+(J1*H4)),"")</f>
        <v>-2.6286904109589043E-2</v>
      </c>
      <c r="J4" s="3">
        <f t="shared" ref="J4:J67" si="1">IFERROR(IF($C$18=" "," ",1/(1+I4))," ")</f>
        <v>1.0269965600961246</v>
      </c>
      <c r="K4" s="3">
        <f>IFERROR(IF($C$18=" "," ",L1+J4),"")</f>
        <v>1.0269965600961246</v>
      </c>
      <c r="L4" s="30">
        <f t="shared" ref="L4:L63" si="2">IFERROR(TRUNC(IF($C$18=" "," ",$C$13/K4),2),"")</f>
        <v>243.42</v>
      </c>
      <c r="M4" s="29">
        <f>IFERROR(IF(C13&gt;0,C13," "),"")</f>
        <v>250</v>
      </c>
      <c r="N4" s="29">
        <f>IFERROR(IF(AND(Q2="N",Q4="Y"),SUM(W4:X4),IF(AND(Q2="Y",Q4="N"),SUM(W4:X4),TRUNC((M4+(0*(-1)))*(H4)+(0*(-1)),2))),"")</f>
        <v>-6.57</v>
      </c>
      <c r="O4" s="29">
        <f t="shared" ref="O4:O67" si="3">IFERROR(IF($C$17=E4,M4,TRUNC($C$19-N4,2)),"")</f>
        <v>19</v>
      </c>
      <c r="P4" s="29">
        <f t="shared" ref="P4:P67" si="4">IF(TRUNC(SUM(N4:O4),2)&lt;=0,"",TRUNC(SUM(N4:O4),2))</f>
        <v>12.43</v>
      </c>
      <c r="Q4" s="23" t="str">
        <f t="shared" ref="Q4:Q35" si="5">IFERROR(IF(IF(DAY(DATE(MID(F4,7,4),3,0))=29,366,365)=366,"Y","N"),"")</f>
        <v>N</v>
      </c>
      <c r="R4" s="5" t="str">
        <f>TEXT(IF(AND(Q2="N",Q4="Y"),EDATE($F$4,E4-2),IF(AND(Q2="Y",Q4="N"),EDATE($F$4,E4-2),"")),"DD/MM/YYYY")</f>
        <v/>
      </c>
      <c r="S4" s="5" t="str">
        <f>TEXT(IFERROR(DATE(YEAR(R4),12,31),""),"DD/MM/YYYY")</f>
        <v/>
      </c>
      <c r="T4" s="5" t="str">
        <f>TEXT(IFERROR(EDATE($R4,1),""),"DD/MM/YYYY")</f>
        <v/>
      </c>
      <c r="U4" s="4" t="str">
        <f t="shared" ref="U4:U35" si="6">IFERROR(IF(E4=" "," ",IF($E4&lt;=$C$16,SUM(S4-R4)*$C$14/IF(DAY(DATE(MID(S4,7,4),3,0))=29,366,365),SUM(S4-R4)*$C$15/IF(DAY(DATE(MID(S4,7,4),3,0))=29,366,365))),"")</f>
        <v/>
      </c>
      <c r="V4" s="6" t="str">
        <f t="shared" ref="V4:V35" si="7">IFERROR(IF(E4=" "," ",IF($E4&lt;=$C$16,SUM(T4-S4)*$C$14/IF(DAY(DATE(MID(T4,7,4),3,0))=29,366,365),SUM(T4-S4)*$C$15/IF(DAY(DATE(MID(T4,7,4),3,0))=29,366,365))),"")</f>
        <v/>
      </c>
      <c r="W4" s="22" t="str">
        <f t="shared" ref="W4:W35" si="8">IFERROR(TRUNC(U4*M4,2),"")</f>
        <v/>
      </c>
      <c r="X4" s="22" t="str">
        <f t="shared" ref="X4:X35" si="9">IFERROR(TRUNC(V4*M4,2),"")</f>
        <v/>
      </c>
      <c r="Y4" s="22"/>
      <c r="Z4" s="1">
        <v>1</v>
      </c>
      <c r="AA4" s="1">
        <v>1</v>
      </c>
      <c r="AB4" s="1" t="s">
        <v>38</v>
      </c>
      <c r="AC4" s="2">
        <v>43808</v>
      </c>
      <c r="AD4" s="2">
        <v>43780</v>
      </c>
      <c r="AE4" s="36">
        <v>12.22</v>
      </c>
      <c r="AF4" s="36">
        <v>9.16</v>
      </c>
      <c r="AG4" s="36">
        <v>3.06</v>
      </c>
      <c r="AJ4" s="34">
        <f t="shared" ref="AJ4:AJ27" si="10">AE4-P4</f>
        <v>-0.20999999999999908</v>
      </c>
      <c r="AK4" s="34">
        <f t="shared" ref="AK4:AK27" si="11">AF4-O4</f>
        <v>-9.84</v>
      </c>
      <c r="AL4" s="34">
        <f t="shared" ref="AL4:AL27" si="12">N4-AG4</f>
        <v>-9.6300000000000008</v>
      </c>
    </row>
    <row r="5" spans="2:38" x14ac:dyDescent="0.25">
      <c r="B5" s="37" t="s">
        <v>0</v>
      </c>
      <c r="C5" s="38"/>
      <c r="E5" s="25">
        <f t="shared" ref="E5:E68" si="13">IFERROR(IF($E4&lt;$C$17,E4+1," "),"")</f>
        <v>2</v>
      </c>
      <c r="F5" s="26" t="str">
        <f t="shared" ref="F5:F68" si="14">IFERROR(TEXT(IF($E5&lt;=$C$17,EDATE($F$4,E5 - 1)," "),"DD/MM/YYYY"),"")</f>
        <v>12/10/2019</v>
      </c>
      <c r="G5" s="27">
        <f t="shared" ref="G5:G68" si="15">IFERROR(IF(E5=" "," ",F5-F4),"")</f>
        <v>89</v>
      </c>
      <c r="H5" s="28">
        <f t="shared" si="0"/>
        <v>3.8992241095890411E-2</v>
      </c>
      <c r="I5" s="3">
        <f t="shared" ref="I5:I68" si="16">IFERROR(IF(E5=" "," ",ROUND(I4+H5+(I4*H5),6)),"")</f>
        <v>1.1679999999999999E-2</v>
      </c>
      <c r="J5" s="3">
        <f t="shared" si="1"/>
        <v>0.98845484738257161</v>
      </c>
      <c r="K5" s="3">
        <f t="shared" ref="K5:K68" si="17">IFERROR(IF($C$18=" "," ",K4+J5),"")</f>
        <v>2.0154514074786962</v>
      </c>
      <c r="L5" s="30">
        <f t="shared" si="2"/>
        <v>124.04</v>
      </c>
      <c r="M5" s="29">
        <f t="shared" ref="M5:M68" si="18">IFERROR(IF(IF($M4&gt;0,($M4-$O4)," ")&lt;=0,"",IF($M4&gt;0,($M4-$O4)," ")),"")</f>
        <v>231</v>
      </c>
      <c r="N5" s="29">
        <f>IFERROR(IF(AND(Q4="N",Q5="Y"),SUM(W5:X5),IF(AND(Q4="Y",Q5="N"),SUM(W5:X5),TRUNC((M5+(0*(-1)))*(H5)+(0*(-1)),2))),"")</f>
        <v>9</v>
      </c>
      <c r="O5" s="29">
        <f t="shared" si="3"/>
        <v>3.43</v>
      </c>
      <c r="P5" s="29">
        <f t="shared" si="4"/>
        <v>12.43</v>
      </c>
      <c r="Q5" s="23" t="str">
        <f t="shared" si="5"/>
        <v>N</v>
      </c>
      <c r="R5" s="5" t="str">
        <f t="shared" ref="R5:R36" si="19">TEXT(IF(AND(Q4="N",Q5="Y"),EDATE($F$4,E5-2),IF(AND(Q4="Y",Q5="N"),EDATE($F$4,E5-2),"")),"DD/MM/YYYY")</f>
        <v/>
      </c>
      <c r="S5" s="5" t="str">
        <f t="shared" ref="S5:S68" si="20">TEXT(IFERROR(DATE(YEAR(R5),12,31),""),"DD/MM/YYYY")</f>
        <v/>
      </c>
      <c r="T5" s="5" t="str">
        <f t="shared" ref="T5:T68" si="21">TEXT(IFERROR(EDATE($R5,1),""),"DD/MM/YYYY")</f>
        <v/>
      </c>
      <c r="U5" s="4" t="str">
        <f t="shared" si="6"/>
        <v/>
      </c>
      <c r="V5" s="6" t="str">
        <f t="shared" si="7"/>
        <v/>
      </c>
      <c r="W5" s="22" t="str">
        <f t="shared" si="8"/>
        <v/>
      </c>
      <c r="X5" s="22" t="str">
        <f t="shared" si="9"/>
        <v/>
      </c>
      <c r="Y5" s="22"/>
      <c r="Z5" s="1">
        <v>2</v>
      </c>
      <c r="AA5" s="1">
        <v>1</v>
      </c>
      <c r="AB5" s="1" t="s">
        <v>38</v>
      </c>
      <c r="AC5" s="2">
        <v>43839</v>
      </c>
      <c r="AD5" s="2">
        <v>43780</v>
      </c>
      <c r="AE5" s="36">
        <v>12.22</v>
      </c>
      <c r="AF5" s="36">
        <v>8.9600000000000009</v>
      </c>
      <c r="AG5" s="36">
        <v>3.26</v>
      </c>
      <c r="AJ5" s="34">
        <f t="shared" si="10"/>
        <v>-0.20999999999999908</v>
      </c>
      <c r="AK5" s="34">
        <f t="shared" si="11"/>
        <v>5.5300000000000011</v>
      </c>
      <c r="AL5" s="34">
        <f t="shared" si="12"/>
        <v>5.74</v>
      </c>
    </row>
    <row r="6" spans="2:38" x14ac:dyDescent="0.25">
      <c r="E6" s="25">
        <f t="shared" si="13"/>
        <v>3</v>
      </c>
      <c r="F6" s="26" t="str">
        <f t="shared" si="14"/>
        <v>12/11/2019</v>
      </c>
      <c r="G6" s="27">
        <f t="shared" si="15"/>
        <v>1</v>
      </c>
      <c r="H6" s="28">
        <f t="shared" si="0"/>
        <v>4.381150684931507E-4</v>
      </c>
      <c r="I6" s="3">
        <f t="shared" si="16"/>
        <v>1.2123E-2</v>
      </c>
      <c r="J6" s="3">
        <f t="shared" si="1"/>
        <v>0.98802220678711961</v>
      </c>
      <c r="K6" s="3">
        <f t="shared" si="17"/>
        <v>3.0034736142658156</v>
      </c>
      <c r="L6" s="30">
        <f t="shared" si="2"/>
        <v>83.23</v>
      </c>
      <c r="M6" s="29">
        <f t="shared" si="18"/>
        <v>227.57</v>
      </c>
      <c r="N6" s="29">
        <f t="shared" ref="N6:N69" si="22">IFERROR(IF(AND(Q5="N",Q6="Y"),SUM(W6:X6),IF(AND(Q5="Y",Q6="N"),SUM(W6:X6),TRUNC((M6+(0*(-1)))*(H6)+(0*(-1)),2))),"")</f>
        <v>0.09</v>
      </c>
      <c r="O6" s="29">
        <f t="shared" si="3"/>
        <v>12.34</v>
      </c>
      <c r="P6" s="29">
        <f t="shared" si="4"/>
        <v>12.43</v>
      </c>
      <c r="Q6" s="23" t="str">
        <f t="shared" si="5"/>
        <v>N</v>
      </c>
      <c r="R6" s="5" t="str">
        <f t="shared" si="19"/>
        <v/>
      </c>
      <c r="S6" s="5" t="str">
        <f t="shared" si="20"/>
        <v/>
      </c>
      <c r="T6" s="5" t="str">
        <f t="shared" si="21"/>
        <v/>
      </c>
      <c r="U6" s="4" t="str">
        <f t="shared" si="6"/>
        <v/>
      </c>
      <c r="V6" s="6" t="str">
        <f t="shared" si="7"/>
        <v/>
      </c>
      <c r="W6" s="22" t="str">
        <f t="shared" si="8"/>
        <v/>
      </c>
      <c r="X6" s="22" t="str">
        <f t="shared" si="9"/>
        <v/>
      </c>
      <c r="Y6" s="22"/>
      <c r="Z6" s="1">
        <v>3</v>
      </c>
      <c r="AA6" s="1">
        <v>1</v>
      </c>
      <c r="AB6" s="1" t="s">
        <v>38</v>
      </c>
      <c r="AC6" s="2">
        <v>43870</v>
      </c>
      <c r="AD6" s="2">
        <v>43780</v>
      </c>
      <c r="AE6" s="36">
        <v>12.22</v>
      </c>
      <c r="AF6" s="36">
        <v>9.08</v>
      </c>
      <c r="AG6" s="36">
        <v>3.14</v>
      </c>
      <c r="AJ6" s="34">
        <f t="shared" si="10"/>
        <v>-0.20999999999999908</v>
      </c>
      <c r="AK6" s="34">
        <f t="shared" si="11"/>
        <v>-3.26</v>
      </c>
      <c r="AL6" s="34">
        <f t="shared" si="12"/>
        <v>-3.0500000000000003</v>
      </c>
    </row>
    <row r="7" spans="2:38" x14ac:dyDescent="0.25">
      <c r="B7" s="18" t="s">
        <v>16</v>
      </c>
      <c r="C7" s="17" t="s">
        <v>50</v>
      </c>
      <c r="E7" s="25">
        <f t="shared" si="13"/>
        <v>4</v>
      </c>
      <c r="F7" s="26" t="str">
        <f t="shared" si="14"/>
        <v>12/12/2019</v>
      </c>
      <c r="G7" s="27">
        <f t="shared" si="15"/>
        <v>1</v>
      </c>
      <c r="H7" s="28">
        <f t="shared" si="0"/>
        <v>4.381150684931507E-4</v>
      </c>
      <c r="I7" s="3">
        <f t="shared" si="16"/>
        <v>1.2566000000000001E-2</v>
      </c>
      <c r="J7" s="3">
        <f t="shared" si="1"/>
        <v>0.98758994475421846</v>
      </c>
      <c r="K7" s="3">
        <f t="shared" si="17"/>
        <v>3.9910635590200343</v>
      </c>
      <c r="L7" s="30">
        <f t="shared" si="2"/>
        <v>62.63</v>
      </c>
      <c r="M7" s="29">
        <f t="shared" si="18"/>
        <v>215.23</v>
      </c>
      <c r="N7" s="29">
        <f t="shared" si="22"/>
        <v>0.09</v>
      </c>
      <c r="O7" s="29">
        <f t="shared" si="3"/>
        <v>12.34</v>
      </c>
      <c r="P7" s="29">
        <f t="shared" si="4"/>
        <v>12.43</v>
      </c>
      <c r="Q7" s="23" t="str">
        <f t="shared" si="5"/>
        <v>N</v>
      </c>
      <c r="R7" s="5" t="str">
        <f t="shared" si="19"/>
        <v/>
      </c>
      <c r="S7" s="5" t="str">
        <f t="shared" si="20"/>
        <v/>
      </c>
      <c r="T7" s="5" t="str">
        <f t="shared" si="21"/>
        <v/>
      </c>
      <c r="U7" s="4" t="str">
        <f t="shared" si="6"/>
        <v/>
      </c>
      <c r="V7" s="6" t="str">
        <f t="shared" si="7"/>
        <v/>
      </c>
      <c r="W7" s="22" t="str">
        <f t="shared" si="8"/>
        <v/>
      </c>
      <c r="X7" s="22" t="str">
        <f t="shared" si="9"/>
        <v/>
      </c>
      <c r="Y7" s="22"/>
      <c r="Z7" s="1">
        <v>4</v>
      </c>
      <c r="AA7" s="1">
        <v>1</v>
      </c>
      <c r="AB7" s="1" t="s">
        <v>38</v>
      </c>
      <c r="AC7" s="2">
        <v>43899</v>
      </c>
      <c r="AD7" s="2">
        <v>43780</v>
      </c>
      <c r="AE7" s="36">
        <v>12.22</v>
      </c>
      <c r="AF7" s="36">
        <v>9.4</v>
      </c>
      <c r="AG7" s="36">
        <v>2.82</v>
      </c>
      <c r="AJ7" s="34">
        <f t="shared" si="10"/>
        <v>-0.20999999999999908</v>
      </c>
      <c r="AK7" s="34">
        <f t="shared" si="11"/>
        <v>-2.9399999999999995</v>
      </c>
      <c r="AL7" s="34">
        <f t="shared" si="12"/>
        <v>-2.73</v>
      </c>
    </row>
    <row r="8" spans="2:38" x14ac:dyDescent="0.25">
      <c r="E8" s="25">
        <f t="shared" si="13"/>
        <v>5</v>
      </c>
      <c r="F8" s="26" t="str">
        <f t="shared" si="14"/>
        <v>12/01/2020</v>
      </c>
      <c r="G8" s="27">
        <f t="shared" si="15"/>
        <v>355</v>
      </c>
      <c r="H8" s="28">
        <f t="shared" si="0"/>
        <v>0.15510590163934426</v>
      </c>
      <c r="I8" s="3">
        <f t="shared" si="16"/>
        <v>0.16962099999999999</v>
      </c>
      <c r="J8" s="3">
        <f t="shared" si="1"/>
        <v>0.8549778090509661</v>
      </c>
      <c r="K8" s="3">
        <f t="shared" si="17"/>
        <v>4.8460413680710008</v>
      </c>
      <c r="L8" s="30">
        <f t="shared" si="2"/>
        <v>51.58</v>
      </c>
      <c r="M8" s="29">
        <f t="shared" si="18"/>
        <v>202.89</v>
      </c>
      <c r="N8" s="29">
        <f t="shared" si="22"/>
        <v>0</v>
      </c>
      <c r="O8" s="29">
        <f t="shared" si="3"/>
        <v>12.43</v>
      </c>
      <c r="P8" s="29">
        <f t="shared" si="4"/>
        <v>12.43</v>
      </c>
      <c r="Q8" s="23" t="str">
        <f t="shared" si="5"/>
        <v>Y</v>
      </c>
      <c r="R8" s="5" t="str">
        <f t="shared" si="19"/>
        <v>12/12/2019</v>
      </c>
      <c r="S8" s="5" t="str">
        <f t="shared" si="20"/>
        <v>31/12/2019</v>
      </c>
      <c r="T8" s="5" t="str">
        <f t="shared" si="21"/>
        <v>12/01/2020</v>
      </c>
      <c r="U8" s="4" t="str">
        <f t="shared" si="6"/>
        <v/>
      </c>
      <c r="V8" s="6" t="str">
        <f t="shared" si="7"/>
        <v/>
      </c>
      <c r="W8" s="22" t="str">
        <f t="shared" si="8"/>
        <v/>
      </c>
      <c r="X8" s="22" t="str">
        <f t="shared" si="9"/>
        <v/>
      </c>
      <c r="Y8" s="22"/>
      <c r="Z8" s="1">
        <v>5</v>
      </c>
      <c r="AA8" s="1">
        <v>1</v>
      </c>
      <c r="AB8" s="1" t="s">
        <v>38</v>
      </c>
      <c r="AC8" s="2">
        <v>43930</v>
      </c>
      <c r="AD8" s="2">
        <v>43780</v>
      </c>
      <c r="AE8" s="36">
        <v>12.22</v>
      </c>
      <c r="AF8" s="36">
        <v>9.33</v>
      </c>
      <c r="AG8" s="36">
        <v>2.89</v>
      </c>
      <c r="AJ8" s="34">
        <f t="shared" si="10"/>
        <v>-0.20999999999999908</v>
      </c>
      <c r="AK8" s="34">
        <f t="shared" si="11"/>
        <v>-3.0999999999999996</v>
      </c>
      <c r="AL8" s="34">
        <f t="shared" si="12"/>
        <v>-2.89</v>
      </c>
    </row>
    <row r="9" spans="2:38" x14ac:dyDescent="0.25">
      <c r="B9" s="37" t="s">
        <v>15</v>
      </c>
      <c r="C9" s="38"/>
      <c r="E9" s="25">
        <f t="shared" si="13"/>
        <v>6</v>
      </c>
      <c r="F9" s="26" t="str">
        <f t="shared" si="14"/>
        <v>12/02/2020</v>
      </c>
      <c r="G9" s="27">
        <f t="shared" si="15"/>
        <v>1</v>
      </c>
      <c r="H9" s="28">
        <f t="shared" si="0"/>
        <v>4.3691803278688525E-4</v>
      </c>
      <c r="I9" s="3">
        <f t="shared" si="16"/>
        <v>0.17013200000000001</v>
      </c>
      <c r="J9" s="3">
        <f t="shared" si="1"/>
        <v>0.85460443778992456</v>
      </c>
      <c r="K9" s="3">
        <f t="shared" si="17"/>
        <v>5.7006458058609253</v>
      </c>
      <c r="L9" s="30">
        <f t="shared" si="2"/>
        <v>43.85</v>
      </c>
      <c r="M9" s="29">
        <f t="shared" si="18"/>
        <v>190.45999999999998</v>
      </c>
      <c r="N9" s="29">
        <f t="shared" si="22"/>
        <v>0.08</v>
      </c>
      <c r="O9" s="29">
        <f t="shared" si="3"/>
        <v>12.35</v>
      </c>
      <c r="P9" s="29">
        <f t="shared" si="4"/>
        <v>12.43</v>
      </c>
      <c r="Q9" s="23" t="str">
        <f t="shared" si="5"/>
        <v>Y</v>
      </c>
      <c r="R9" s="5" t="str">
        <f t="shared" si="19"/>
        <v/>
      </c>
      <c r="S9" s="5" t="str">
        <f t="shared" si="20"/>
        <v/>
      </c>
      <c r="T9" s="5" t="str">
        <f t="shared" si="21"/>
        <v/>
      </c>
      <c r="U9" s="4" t="str">
        <f t="shared" si="6"/>
        <v/>
      </c>
      <c r="V9" s="6" t="str">
        <f t="shared" si="7"/>
        <v/>
      </c>
      <c r="W9" s="22" t="str">
        <f t="shared" si="8"/>
        <v/>
      </c>
      <c r="X9" s="22" t="str">
        <f t="shared" si="9"/>
        <v/>
      </c>
      <c r="Y9" s="22"/>
      <c r="Z9" s="1">
        <v>6</v>
      </c>
      <c r="AA9" s="1">
        <v>1</v>
      </c>
      <c r="AB9" s="1" t="s">
        <v>38</v>
      </c>
      <c r="AC9" s="2">
        <v>43960</v>
      </c>
      <c r="AD9" s="2">
        <v>43780</v>
      </c>
      <c r="AE9" s="36">
        <v>12.22</v>
      </c>
      <c r="AF9" s="36">
        <v>9.5500000000000007</v>
      </c>
      <c r="AG9" s="36">
        <v>2.67</v>
      </c>
      <c r="AJ9" s="34">
        <f t="shared" si="10"/>
        <v>-0.20999999999999908</v>
      </c>
      <c r="AK9" s="34">
        <f t="shared" si="11"/>
        <v>-2.7999999999999989</v>
      </c>
      <c r="AL9" s="34">
        <f t="shared" si="12"/>
        <v>-2.59</v>
      </c>
    </row>
    <row r="10" spans="2:38" x14ac:dyDescent="0.25">
      <c r="E10" s="25">
        <f t="shared" si="13"/>
        <v>7</v>
      </c>
      <c r="F10" s="26" t="str">
        <f t="shared" si="14"/>
        <v>12/03/2020</v>
      </c>
      <c r="G10" s="27">
        <f t="shared" si="15"/>
        <v>1</v>
      </c>
      <c r="H10" s="28">
        <f t="shared" si="0"/>
        <v>4.3691803278688525E-4</v>
      </c>
      <c r="I10" s="3">
        <f t="shared" si="16"/>
        <v>0.17064299999999999</v>
      </c>
      <c r="J10" s="3">
        <f t="shared" si="1"/>
        <v>0.85423139249113511</v>
      </c>
      <c r="K10" s="3">
        <f t="shared" si="17"/>
        <v>6.5548771983520604</v>
      </c>
      <c r="L10" s="30">
        <f t="shared" si="2"/>
        <v>38.130000000000003</v>
      </c>
      <c r="M10" s="29">
        <f t="shared" si="18"/>
        <v>178.10999999999999</v>
      </c>
      <c r="N10" s="29">
        <f t="shared" si="22"/>
        <v>7.0000000000000007E-2</v>
      </c>
      <c r="O10" s="29">
        <f t="shared" si="3"/>
        <v>12.36</v>
      </c>
      <c r="P10" s="29">
        <f t="shared" si="4"/>
        <v>12.43</v>
      </c>
      <c r="Q10" s="23" t="str">
        <f t="shared" si="5"/>
        <v>Y</v>
      </c>
      <c r="R10" s="5" t="str">
        <f t="shared" si="19"/>
        <v/>
      </c>
      <c r="S10" s="5" t="str">
        <f t="shared" si="20"/>
        <v/>
      </c>
      <c r="T10" s="5" t="str">
        <f t="shared" si="21"/>
        <v/>
      </c>
      <c r="U10" s="4" t="str">
        <f t="shared" si="6"/>
        <v/>
      </c>
      <c r="V10" s="6" t="str">
        <f t="shared" si="7"/>
        <v/>
      </c>
      <c r="W10" s="22" t="str">
        <f t="shared" si="8"/>
        <v/>
      </c>
      <c r="X10" s="22" t="str">
        <f t="shared" si="9"/>
        <v/>
      </c>
      <c r="Y10" s="22"/>
      <c r="Z10" s="1">
        <v>7</v>
      </c>
      <c r="AA10" s="1">
        <v>1</v>
      </c>
      <c r="AB10" s="1" t="s">
        <v>38</v>
      </c>
      <c r="AC10" s="2">
        <v>43991</v>
      </c>
      <c r="AD10" s="2">
        <v>43780</v>
      </c>
      <c r="AE10" s="36">
        <v>12.22</v>
      </c>
      <c r="AF10" s="36">
        <v>9.59</v>
      </c>
      <c r="AG10" s="36">
        <v>2.63</v>
      </c>
      <c r="AJ10" s="34">
        <f t="shared" si="10"/>
        <v>-0.20999999999999908</v>
      </c>
      <c r="AK10" s="34">
        <f t="shared" si="11"/>
        <v>-2.7699999999999996</v>
      </c>
      <c r="AL10" s="34">
        <f t="shared" si="12"/>
        <v>-2.56</v>
      </c>
    </row>
    <row r="11" spans="2:38" x14ac:dyDescent="0.25">
      <c r="B11" s="16" t="s">
        <v>14</v>
      </c>
      <c r="C11" s="15">
        <v>43780</v>
      </c>
      <c r="E11" s="25">
        <f t="shared" si="13"/>
        <v>8</v>
      </c>
      <c r="F11" s="26" t="str">
        <f t="shared" si="14"/>
        <v>12/04/2020</v>
      </c>
      <c r="G11" s="27">
        <f t="shared" si="15"/>
        <v>1</v>
      </c>
      <c r="H11" s="28">
        <f t="shared" si="0"/>
        <v>4.3691803278688525E-4</v>
      </c>
      <c r="I11" s="3">
        <f t="shared" si="16"/>
        <v>0.171154</v>
      </c>
      <c r="J11" s="3">
        <f t="shared" si="1"/>
        <v>0.85385867272792471</v>
      </c>
      <c r="K11" s="3">
        <f t="shared" si="17"/>
        <v>7.4087358710799851</v>
      </c>
      <c r="L11" s="30">
        <f t="shared" si="2"/>
        <v>33.74</v>
      </c>
      <c r="M11" s="29">
        <f t="shared" si="18"/>
        <v>165.75</v>
      </c>
      <c r="N11" s="29">
        <f t="shared" si="22"/>
        <v>7.0000000000000007E-2</v>
      </c>
      <c r="O11" s="29">
        <f t="shared" si="3"/>
        <v>12.36</v>
      </c>
      <c r="P11" s="29">
        <f t="shared" si="4"/>
        <v>12.43</v>
      </c>
      <c r="Q11" s="23" t="str">
        <f t="shared" si="5"/>
        <v>Y</v>
      </c>
      <c r="R11" s="5" t="str">
        <f t="shared" si="19"/>
        <v/>
      </c>
      <c r="S11" s="5" t="str">
        <f t="shared" si="20"/>
        <v/>
      </c>
      <c r="T11" s="5" t="str">
        <f t="shared" si="21"/>
        <v/>
      </c>
      <c r="U11" s="4" t="str">
        <f t="shared" si="6"/>
        <v/>
      </c>
      <c r="V11" s="6" t="str">
        <f t="shared" si="7"/>
        <v/>
      </c>
      <c r="W11" s="22" t="str">
        <f t="shared" si="8"/>
        <v/>
      </c>
      <c r="X11" s="22" t="str">
        <f t="shared" si="9"/>
        <v/>
      </c>
      <c r="Y11" s="22"/>
      <c r="Z11" s="1">
        <v>8</v>
      </c>
      <c r="AA11" s="1">
        <v>1</v>
      </c>
      <c r="AB11" s="1" t="s">
        <v>38</v>
      </c>
      <c r="AC11" s="2">
        <v>44021</v>
      </c>
      <c r="AD11" s="2">
        <v>43780</v>
      </c>
      <c r="AE11" s="36">
        <v>12.22</v>
      </c>
      <c r="AF11" s="36">
        <v>9.8000000000000007</v>
      </c>
      <c r="AG11" s="36">
        <v>2.42</v>
      </c>
      <c r="AJ11" s="34">
        <f t="shared" si="10"/>
        <v>-0.20999999999999908</v>
      </c>
      <c r="AK11" s="34">
        <f t="shared" si="11"/>
        <v>-2.5599999999999987</v>
      </c>
      <c r="AL11" s="34">
        <f t="shared" si="12"/>
        <v>-2.35</v>
      </c>
    </row>
    <row r="12" spans="2:38" x14ac:dyDescent="0.25">
      <c r="B12" s="11" t="s">
        <v>33</v>
      </c>
      <c r="C12" s="32" t="s">
        <v>47</v>
      </c>
      <c r="E12" s="25">
        <f t="shared" si="13"/>
        <v>9</v>
      </c>
      <c r="F12" s="26" t="str">
        <f t="shared" si="14"/>
        <v>12/05/2020</v>
      </c>
      <c r="G12" s="27">
        <f t="shared" si="15"/>
        <v>1</v>
      </c>
      <c r="H12" s="28">
        <f t="shared" si="0"/>
        <v>4.3691803278688525E-4</v>
      </c>
      <c r="I12" s="3">
        <f t="shared" si="16"/>
        <v>0.17166600000000001</v>
      </c>
      <c r="J12" s="3">
        <f t="shared" si="1"/>
        <v>0.85348554963615908</v>
      </c>
      <c r="K12" s="3">
        <f t="shared" si="17"/>
        <v>8.2622214207161448</v>
      </c>
      <c r="L12" s="30">
        <f t="shared" si="2"/>
        <v>30.25</v>
      </c>
      <c r="M12" s="29">
        <f t="shared" si="18"/>
        <v>153.38999999999999</v>
      </c>
      <c r="N12" s="29">
        <f t="shared" si="22"/>
        <v>0.06</v>
      </c>
      <c r="O12" s="29">
        <f t="shared" si="3"/>
        <v>12.37</v>
      </c>
      <c r="P12" s="29">
        <f t="shared" si="4"/>
        <v>12.43</v>
      </c>
      <c r="Q12" s="23" t="str">
        <f t="shared" si="5"/>
        <v>Y</v>
      </c>
      <c r="R12" s="5" t="str">
        <f t="shared" si="19"/>
        <v/>
      </c>
      <c r="S12" s="5" t="str">
        <f t="shared" si="20"/>
        <v/>
      </c>
      <c r="T12" s="5" t="str">
        <f t="shared" si="21"/>
        <v/>
      </c>
      <c r="U12" s="4" t="str">
        <f t="shared" si="6"/>
        <v/>
      </c>
      <c r="V12" s="6" t="str">
        <f t="shared" si="7"/>
        <v/>
      </c>
      <c r="W12" s="22" t="str">
        <f t="shared" si="8"/>
        <v/>
      </c>
      <c r="X12" s="22" t="str">
        <f t="shared" si="9"/>
        <v/>
      </c>
      <c r="Y12" s="22"/>
      <c r="Z12" s="1">
        <v>9</v>
      </c>
      <c r="AA12" s="1">
        <v>1</v>
      </c>
      <c r="AB12" s="1" t="s">
        <v>38</v>
      </c>
      <c r="AC12" s="2">
        <v>44052</v>
      </c>
      <c r="AD12" s="2">
        <v>43780</v>
      </c>
      <c r="AE12" s="36">
        <v>12.22</v>
      </c>
      <c r="AF12" s="36">
        <v>9.85</v>
      </c>
      <c r="AG12" s="36">
        <v>2.37</v>
      </c>
      <c r="AJ12" s="34">
        <f t="shared" si="10"/>
        <v>-0.20999999999999908</v>
      </c>
      <c r="AK12" s="34">
        <f t="shared" si="11"/>
        <v>-2.5199999999999996</v>
      </c>
      <c r="AL12" s="34">
        <f t="shared" si="12"/>
        <v>-2.31</v>
      </c>
    </row>
    <row r="13" spans="2:38" x14ac:dyDescent="0.25">
      <c r="B13" s="11" t="s">
        <v>13</v>
      </c>
      <c r="C13" s="14">
        <v>250</v>
      </c>
      <c r="E13" s="25">
        <f t="shared" si="13"/>
        <v>10</v>
      </c>
      <c r="F13" s="26" t="str">
        <f t="shared" si="14"/>
        <v>12/06/2020</v>
      </c>
      <c r="G13" s="27">
        <f t="shared" si="15"/>
        <v>1</v>
      </c>
      <c r="H13" s="28">
        <f t="shared" si="0"/>
        <v>4.3691803278688525E-4</v>
      </c>
      <c r="I13" s="3">
        <f t="shared" si="16"/>
        <v>0.172178</v>
      </c>
      <c r="J13" s="3">
        <f t="shared" si="1"/>
        <v>0.85311275250004692</v>
      </c>
      <c r="K13" s="3">
        <f t="shared" si="17"/>
        <v>9.1153341732161923</v>
      </c>
      <c r="L13" s="30">
        <f t="shared" si="2"/>
        <v>27.42</v>
      </c>
      <c r="M13" s="29">
        <f t="shared" si="18"/>
        <v>141.01999999999998</v>
      </c>
      <c r="N13" s="29">
        <f t="shared" si="22"/>
        <v>0.06</v>
      </c>
      <c r="O13" s="29">
        <f t="shared" si="3"/>
        <v>12.37</v>
      </c>
      <c r="P13" s="29">
        <f t="shared" si="4"/>
        <v>12.43</v>
      </c>
      <c r="Q13" s="23" t="str">
        <f t="shared" si="5"/>
        <v>Y</v>
      </c>
      <c r="R13" s="5" t="str">
        <f t="shared" si="19"/>
        <v/>
      </c>
      <c r="S13" s="5" t="str">
        <f t="shared" si="20"/>
        <v/>
      </c>
      <c r="T13" s="5" t="str">
        <f t="shared" si="21"/>
        <v/>
      </c>
      <c r="U13" s="4" t="str">
        <f t="shared" si="6"/>
        <v/>
      </c>
      <c r="V13" s="6" t="str">
        <f t="shared" si="7"/>
        <v/>
      </c>
      <c r="W13" s="22" t="str">
        <f t="shared" si="8"/>
        <v/>
      </c>
      <c r="X13" s="22" t="str">
        <f t="shared" si="9"/>
        <v/>
      </c>
      <c r="Y13" s="22"/>
      <c r="Z13" s="1">
        <v>10</v>
      </c>
      <c r="AA13" s="1">
        <v>1</v>
      </c>
      <c r="AB13" s="1" t="s">
        <v>38</v>
      </c>
      <c r="AC13" s="2">
        <v>44083</v>
      </c>
      <c r="AD13" s="2">
        <v>43780</v>
      </c>
      <c r="AE13" s="36">
        <v>12.22</v>
      </c>
      <c r="AF13" s="36">
        <v>9.99</v>
      </c>
      <c r="AG13" s="36">
        <v>2.23</v>
      </c>
      <c r="AJ13" s="34">
        <f t="shared" si="10"/>
        <v>-0.20999999999999908</v>
      </c>
      <c r="AK13" s="34">
        <f t="shared" si="11"/>
        <v>-2.379999999999999</v>
      </c>
      <c r="AL13" s="34">
        <f t="shared" si="12"/>
        <v>-2.17</v>
      </c>
    </row>
    <row r="14" spans="2:38" x14ac:dyDescent="0.25">
      <c r="B14" s="11" t="s">
        <v>12</v>
      </c>
      <c r="C14" s="13">
        <f>1.3326%*12</f>
        <v>0.159912</v>
      </c>
      <c r="E14" s="25">
        <f t="shared" si="13"/>
        <v>11</v>
      </c>
      <c r="F14" s="26" t="str">
        <f t="shared" si="14"/>
        <v>12/07/2020</v>
      </c>
      <c r="G14" s="27">
        <f t="shared" si="15"/>
        <v>1</v>
      </c>
      <c r="H14" s="28">
        <f t="shared" si="0"/>
        <v>4.3691803278688525E-4</v>
      </c>
      <c r="I14" s="3">
        <f t="shared" si="16"/>
        <v>0.17269000000000001</v>
      </c>
      <c r="J14" s="3">
        <f t="shared" si="1"/>
        <v>0.85274028089264853</v>
      </c>
      <c r="K14" s="3">
        <f t="shared" si="17"/>
        <v>9.9680744541088409</v>
      </c>
      <c r="L14" s="30">
        <f t="shared" si="2"/>
        <v>25.08</v>
      </c>
      <c r="M14" s="29">
        <f t="shared" si="18"/>
        <v>128.64999999999998</v>
      </c>
      <c r="N14" s="29">
        <f t="shared" si="22"/>
        <v>0.05</v>
      </c>
      <c r="O14" s="29">
        <f t="shared" si="3"/>
        <v>12.38</v>
      </c>
      <c r="P14" s="29">
        <f t="shared" si="4"/>
        <v>12.43</v>
      </c>
      <c r="Q14" s="23" t="str">
        <f t="shared" si="5"/>
        <v>Y</v>
      </c>
      <c r="R14" s="5" t="str">
        <f t="shared" si="19"/>
        <v/>
      </c>
      <c r="S14" s="5" t="str">
        <f t="shared" si="20"/>
        <v/>
      </c>
      <c r="T14" s="5" t="str">
        <f t="shared" si="21"/>
        <v/>
      </c>
      <c r="U14" s="4" t="str">
        <f t="shared" si="6"/>
        <v/>
      </c>
      <c r="V14" s="6" t="str">
        <f t="shared" si="7"/>
        <v/>
      </c>
      <c r="W14" s="22" t="str">
        <f t="shared" si="8"/>
        <v/>
      </c>
      <c r="X14" s="22" t="str">
        <f t="shared" si="9"/>
        <v/>
      </c>
      <c r="Y14" s="22"/>
      <c r="Z14" s="1">
        <v>11</v>
      </c>
      <c r="AA14" s="1">
        <v>1</v>
      </c>
      <c r="AB14" s="1" t="s">
        <v>38</v>
      </c>
      <c r="AC14" s="2">
        <v>44113</v>
      </c>
      <c r="AD14" s="2">
        <v>43780</v>
      </c>
      <c r="AE14" s="36">
        <v>12.22</v>
      </c>
      <c r="AF14" s="36">
        <v>10.19</v>
      </c>
      <c r="AG14" s="36">
        <v>2.0299999999999998</v>
      </c>
      <c r="AJ14" s="34">
        <f t="shared" si="10"/>
        <v>-0.20999999999999908</v>
      </c>
      <c r="AK14" s="34">
        <f t="shared" si="11"/>
        <v>-2.1900000000000013</v>
      </c>
      <c r="AL14" s="34">
        <f t="shared" si="12"/>
        <v>-1.9799999999999998</v>
      </c>
    </row>
    <row r="15" spans="2:38" x14ac:dyDescent="0.25">
      <c r="B15" s="11" t="s">
        <v>11</v>
      </c>
      <c r="C15" s="13">
        <f>1.3325%*12</f>
        <v>0.15989999999999999</v>
      </c>
      <c r="E15" s="25">
        <f t="shared" si="13"/>
        <v>12</v>
      </c>
      <c r="F15" s="26" t="str">
        <f t="shared" si="14"/>
        <v>12/08/2020</v>
      </c>
      <c r="G15" s="27">
        <f t="shared" si="15"/>
        <v>1</v>
      </c>
      <c r="H15" s="28">
        <f t="shared" si="0"/>
        <v>4.3691803278688525E-4</v>
      </c>
      <c r="I15" s="3">
        <f t="shared" si="16"/>
        <v>0.17320199999999999</v>
      </c>
      <c r="J15" s="3">
        <f t="shared" si="1"/>
        <v>0.85236813438776948</v>
      </c>
      <c r="K15" s="3">
        <f t="shared" si="17"/>
        <v>10.82044258849661</v>
      </c>
      <c r="L15" s="30">
        <f t="shared" si="2"/>
        <v>23.1</v>
      </c>
      <c r="M15" s="29">
        <f t="shared" si="18"/>
        <v>116.26999999999998</v>
      </c>
      <c r="N15" s="29">
        <f t="shared" si="22"/>
        <v>0.05</v>
      </c>
      <c r="O15" s="29">
        <f t="shared" si="3"/>
        <v>12.38</v>
      </c>
      <c r="P15" s="29">
        <f t="shared" si="4"/>
        <v>12.43</v>
      </c>
      <c r="Q15" s="23" t="str">
        <f t="shared" si="5"/>
        <v>Y</v>
      </c>
      <c r="R15" s="5" t="str">
        <f t="shared" si="19"/>
        <v/>
      </c>
      <c r="S15" s="5" t="str">
        <f t="shared" si="20"/>
        <v/>
      </c>
      <c r="T15" s="5" t="str">
        <f t="shared" si="21"/>
        <v/>
      </c>
      <c r="U15" s="4" t="str">
        <f t="shared" si="6"/>
        <v/>
      </c>
      <c r="V15" s="6" t="str">
        <f t="shared" si="7"/>
        <v/>
      </c>
      <c r="W15" s="22" t="str">
        <f t="shared" si="8"/>
        <v/>
      </c>
      <c r="X15" s="22" t="str">
        <f t="shared" si="9"/>
        <v/>
      </c>
      <c r="Y15" s="22"/>
      <c r="Z15" s="1">
        <v>12</v>
      </c>
      <c r="AA15" s="1">
        <v>1</v>
      </c>
      <c r="AB15" s="1" t="s">
        <v>38</v>
      </c>
      <c r="AC15" s="2">
        <v>44144</v>
      </c>
      <c r="AD15" s="2">
        <v>43780</v>
      </c>
      <c r="AE15" s="36">
        <v>12.22</v>
      </c>
      <c r="AF15" s="36">
        <v>10.26</v>
      </c>
      <c r="AG15" s="36">
        <v>1.96</v>
      </c>
      <c r="AJ15" s="34">
        <f t="shared" si="10"/>
        <v>-0.20999999999999908</v>
      </c>
      <c r="AK15" s="34">
        <f t="shared" si="11"/>
        <v>-2.120000000000001</v>
      </c>
      <c r="AL15" s="34">
        <f t="shared" si="12"/>
        <v>-1.91</v>
      </c>
    </row>
    <row r="16" spans="2:38" x14ac:dyDescent="0.25">
      <c r="B16" s="11" t="s">
        <v>10</v>
      </c>
      <c r="C16" s="12">
        <v>24</v>
      </c>
      <c r="E16" s="25">
        <f t="shared" si="13"/>
        <v>13</v>
      </c>
      <c r="F16" s="26" t="str">
        <f t="shared" si="14"/>
        <v>12/09/2020</v>
      </c>
      <c r="G16" s="27">
        <f t="shared" si="15"/>
        <v>1</v>
      </c>
      <c r="H16" s="28">
        <f t="shared" si="0"/>
        <v>4.3691803278688525E-4</v>
      </c>
      <c r="I16" s="3">
        <f t="shared" si="16"/>
        <v>0.17371500000000001</v>
      </c>
      <c r="J16" s="3">
        <f t="shared" si="1"/>
        <v>0.85199558666286102</v>
      </c>
      <c r="K16" s="3">
        <f t="shared" si="17"/>
        <v>11.672438175159471</v>
      </c>
      <c r="L16" s="30">
        <f t="shared" si="2"/>
        <v>21.41</v>
      </c>
      <c r="M16" s="29">
        <f t="shared" si="18"/>
        <v>103.88999999999999</v>
      </c>
      <c r="N16" s="29">
        <f t="shared" si="22"/>
        <v>0.04</v>
      </c>
      <c r="O16" s="29">
        <f t="shared" si="3"/>
        <v>12.39</v>
      </c>
      <c r="P16" s="29">
        <f t="shared" si="4"/>
        <v>12.43</v>
      </c>
      <c r="Q16" s="23" t="str">
        <f t="shared" si="5"/>
        <v>Y</v>
      </c>
      <c r="R16" s="5" t="str">
        <f t="shared" si="19"/>
        <v/>
      </c>
      <c r="S16" s="5" t="str">
        <f t="shared" si="20"/>
        <v/>
      </c>
      <c r="T16" s="5" t="str">
        <f t="shared" si="21"/>
        <v/>
      </c>
      <c r="U16" s="4" t="str">
        <f t="shared" si="6"/>
        <v/>
      </c>
      <c r="V16" s="6" t="str">
        <f t="shared" si="7"/>
        <v/>
      </c>
      <c r="W16" s="22" t="str">
        <f t="shared" si="8"/>
        <v/>
      </c>
      <c r="X16" s="22" t="str">
        <f t="shared" si="9"/>
        <v/>
      </c>
      <c r="Y16" s="22"/>
      <c r="Z16" s="1">
        <v>13</v>
      </c>
      <c r="AA16" s="1">
        <v>1</v>
      </c>
      <c r="AB16" s="1" t="s">
        <v>38</v>
      </c>
      <c r="AC16" s="2">
        <v>44174</v>
      </c>
      <c r="AD16" s="2">
        <v>43780</v>
      </c>
      <c r="AE16" s="36">
        <v>12.22</v>
      </c>
      <c r="AF16" s="36">
        <v>10.46</v>
      </c>
      <c r="AG16" s="36">
        <v>1.76</v>
      </c>
      <c r="AJ16" s="34">
        <f t="shared" si="10"/>
        <v>-0.20999999999999908</v>
      </c>
      <c r="AK16" s="34">
        <f t="shared" si="11"/>
        <v>-1.9299999999999997</v>
      </c>
      <c r="AL16" s="34">
        <f t="shared" si="12"/>
        <v>-1.72</v>
      </c>
    </row>
    <row r="17" spans="2:38" x14ac:dyDescent="0.25">
      <c r="B17" s="11" t="s">
        <v>9</v>
      </c>
      <c r="C17" s="12">
        <v>24</v>
      </c>
      <c r="E17" s="25">
        <f t="shared" si="13"/>
        <v>14</v>
      </c>
      <c r="F17" s="26" t="str">
        <f t="shared" si="14"/>
        <v>12/10/2020</v>
      </c>
      <c r="G17" s="27">
        <f t="shared" si="15"/>
        <v>1</v>
      </c>
      <c r="H17" s="28">
        <f t="shared" si="0"/>
        <v>4.3691803278688525E-4</v>
      </c>
      <c r="I17" s="3">
        <f t="shared" si="16"/>
        <v>0.17422799999999999</v>
      </c>
      <c r="J17" s="3">
        <f t="shared" si="1"/>
        <v>0.85162336445732856</v>
      </c>
      <c r="K17" s="3">
        <f t="shared" si="17"/>
        <v>12.524061539616799</v>
      </c>
      <c r="L17" s="30">
        <f t="shared" si="2"/>
        <v>19.96</v>
      </c>
      <c r="M17" s="29">
        <f t="shared" si="18"/>
        <v>91.499999999999986</v>
      </c>
      <c r="N17" s="29">
        <f t="shared" si="22"/>
        <v>0.03</v>
      </c>
      <c r="O17" s="29">
        <f t="shared" si="3"/>
        <v>12.4</v>
      </c>
      <c r="P17" s="29">
        <f t="shared" si="4"/>
        <v>12.43</v>
      </c>
      <c r="Q17" s="23" t="str">
        <f t="shared" si="5"/>
        <v>Y</v>
      </c>
      <c r="R17" s="5" t="str">
        <f t="shared" si="19"/>
        <v/>
      </c>
      <c r="S17" s="5" t="str">
        <f t="shared" si="20"/>
        <v/>
      </c>
      <c r="T17" s="5" t="str">
        <f t="shared" si="21"/>
        <v/>
      </c>
      <c r="U17" s="4" t="str">
        <f t="shared" si="6"/>
        <v/>
      </c>
      <c r="V17" s="6" t="str">
        <f t="shared" si="7"/>
        <v/>
      </c>
      <c r="W17" s="22" t="str">
        <f t="shared" si="8"/>
        <v/>
      </c>
      <c r="X17" s="22" t="str">
        <f t="shared" si="9"/>
        <v/>
      </c>
      <c r="Y17" s="22"/>
      <c r="Z17" s="1">
        <v>14</v>
      </c>
      <c r="AA17" s="1">
        <v>1</v>
      </c>
      <c r="AB17" s="1" t="s">
        <v>38</v>
      </c>
      <c r="AC17" s="2">
        <v>44205</v>
      </c>
      <c r="AD17" s="2">
        <v>43780</v>
      </c>
      <c r="AE17" s="36">
        <v>12.22</v>
      </c>
      <c r="AF17" s="36">
        <v>10.54</v>
      </c>
      <c r="AG17" s="36">
        <v>1.68</v>
      </c>
      <c r="AJ17" s="34">
        <f t="shared" si="10"/>
        <v>-0.20999999999999908</v>
      </c>
      <c r="AK17" s="34">
        <f t="shared" si="11"/>
        <v>-1.8600000000000012</v>
      </c>
      <c r="AL17" s="34">
        <f t="shared" si="12"/>
        <v>-1.65</v>
      </c>
    </row>
    <row r="18" spans="2:38" x14ac:dyDescent="0.25">
      <c r="B18" s="11" t="s">
        <v>8</v>
      </c>
      <c r="C18" s="10">
        <v>43808</v>
      </c>
      <c r="E18" s="25">
        <f t="shared" si="13"/>
        <v>15</v>
      </c>
      <c r="F18" s="26" t="str">
        <f t="shared" si="14"/>
        <v>12/11/2020</v>
      </c>
      <c r="G18" s="27">
        <f t="shared" si="15"/>
        <v>1</v>
      </c>
      <c r="H18" s="28">
        <f t="shared" si="0"/>
        <v>4.3691803278688525E-4</v>
      </c>
      <c r="I18" s="3">
        <f t="shared" si="16"/>
        <v>0.17474100000000001</v>
      </c>
      <c r="J18" s="3">
        <f t="shared" si="1"/>
        <v>0.85125146734471679</v>
      </c>
      <c r="K18" s="3">
        <f t="shared" si="17"/>
        <v>13.375313006961516</v>
      </c>
      <c r="L18" s="30">
        <f t="shared" si="2"/>
        <v>18.690000000000001</v>
      </c>
      <c r="M18" s="29">
        <f t="shared" si="18"/>
        <v>79.09999999999998</v>
      </c>
      <c r="N18" s="29">
        <f t="shared" si="22"/>
        <v>0.03</v>
      </c>
      <c r="O18" s="29">
        <f t="shared" si="3"/>
        <v>12.4</v>
      </c>
      <c r="P18" s="29">
        <f t="shared" si="4"/>
        <v>12.43</v>
      </c>
      <c r="Q18" s="23" t="str">
        <f t="shared" si="5"/>
        <v>Y</v>
      </c>
      <c r="R18" s="5" t="str">
        <f t="shared" si="19"/>
        <v/>
      </c>
      <c r="S18" s="5" t="str">
        <f t="shared" si="20"/>
        <v/>
      </c>
      <c r="T18" s="5" t="str">
        <f t="shared" si="21"/>
        <v/>
      </c>
      <c r="U18" s="4" t="str">
        <f t="shared" si="6"/>
        <v/>
      </c>
      <c r="V18" s="6" t="str">
        <f t="shared" si="7"/>
        <v/>
      </c>
      <c r="W18" s="22" t="str">
        <f t="shared" si="8"/>
        <v/>
      </c>
      <c r="X18" s="22" t="str">
        <f t="shared" si="9"/>
        <v/>
      </c>
      <c r="Y18" s="22"/>
      <c r="Z18" s="1">
        <v>15</v>
      </c>
      <c r="AA18" s="1">
        <v>1</v>
      </c>
      <c r="AB18" s="1" t="s">
        <v>38</v>
      </c>
      <c r="AC18" s="2">
        <v>44236</v>
      </c>
      <c r="AD18" s="2">
        <v>43780</v>
      </c>
      <c r="AE18" s="36">
        <v>12.22</v>
      </c>
      <c r="AF18" s="36">
        <v>10.68</v>
      </c>
      <c r="AG18" s="36">
        <v>1.54</v>
      </c>
      <c r="AJ18" s="34">
        <f t="shared" si="10"/>
        <v>-0.20999999999999908</v>
      </c>
      <c r="AK18" s="34">
        <f t="shared" si="11"/>
        <v>-1.7200000000000006</v>
      </c>
      <c r="AL18" s="34">
        <f t="shared" si="12"/>
        <v>-1.51</v>
      </c>
    </row>
    <row r="19" spans="2:38" x14ac:dyDescent="0.25">
      <c r="B19" s="9" t="s">
        <v>7</v>
      </c>
      <c r="C19" s="8">
        <f>IFERROR(TRUNC(VLOOKUP($C$17,$E$4:$L$69,8),2),"")</f>
        <v>12.43</v>
      </c>
      <c r="E19" s="25">
        <f t="shared" si="13"/>
        <v>16</v>
      </c>
      <c r="F19" s="26" t="str">
        <f t="shared" si="14"/>
        <v>12/12/2020</v>
      </c>
      <c r="G19" s="27">
        <f t="shared" si="15"/>
        <v>1</v>
      </c>
      <c r="H19" s="28">
        <f t="shared" si="0"/>
        <v>4.3691803278688525E-4</v>
      </c>
      <c r="I19" s="3">
        <f t="shared" si="16"/>
        <v>0.17525399999999999</v>
      </c>
      <c r="J19" s="3">
        <f t="shared" si="1"/>
        <v>0.85087989489931537</v>
      </c>
      <c r="K19" s="3">
        <f t="shared" si="17"/>
        <v>14.226192901860831</v>
      </c>
      <c r="L19" s="30">
        <f t="shared" si="2"/>
        <v>17.57</v>
      </c>
      <c r="M19" s="29">
        <f t="shared" si="18"/>
        <v>66.699999999999974</v>
      </c>
      <c r="N19" s="29">
        <f t="shared" si="22"/>
        <v>0.02</v>
      </c>
      <c r="O19" s="29">
        <f t="shared" si="3"/>
        <v>12.41</v>
      </c>
      <c r="P19" s="29">
        <f t="shared" si="4"/>
        <v>12.43</v>
      </c>
      <c r="Q19" s="23" t="str">
        <f t="shared" si="5"/>
        <v>Y</v>
      </c>
      <c r="R19" s="5" t="str">
        <f t="shared" si="19"/>
        <v/>
      </c>
      <c r="S19" s="5" t="str">
        <f t="shared" si="20"/>
        <v/>
      </c>
      <c r="T19" s="5" t="str">
        <f t="shared" si="21"/>
        <v/>
      </c>
      <c r="U19" s="4" t="str">
        <f t="shared" si="6"/>
        <v/>
      </c>
      <c r="V19" s="6" t="str">
        <f t="shared" si="7"/>
        <v/>
      </c>
      <c r="W19" s="22" t="str">
        <f t="shared" si="8"/>
        <v/>
      </c>
      <c r="X19" s="22" t="str">
        <f t="shared" si="9"/>
        <v/>
      </c>
      <c r="Y19" s="22"/>
      <c r="Z19" s="1">
        <v>16</v>
      </c>
      <c r="AA19" s="1">
        <v>1</v>
      </c>
      <c r="AB19" s="1" t="s">
        <v>38</v>
      </c>
      <c r="AC19" s="2">
        <v>44264</v>
      </c>
      <c r="AD19" s="2">
        <v>43780</v>
      </c>
      <c r="AE19" s="36">
        <v>12.22</v>
      </c>
      <c r="AF19" s="36">
        <v>10.96</v>
      </c>
      <c r="AG19" s="36">
        <v>1.26</v>
      </c>
      <c r="AJ19" s="34">
        <f t="shared" si="10"/>
        <v>-0.20999999999999908</v>
      </c>
      <c r="AK19" s="34">
        <f t="shared" si="11"/>
        <v>-1.4499999999999993</v>
      </c>
      <c r="AL19" s="34">
        <f t="shared" si="12"/>
        <v>-1.24</v>
      </c>
    </row>
    <row r="20" spans="2:38" x14ac:dyDescent="0.25">
      <c r="E20" s="25">
        <f t="shared" si="13"/>
        <v>17</v>
      </c>
      <c r="F20" s="26" t="str">
        <f t="shared" si="14"/>
        <v>12/01/2021</v>
      </c>
      <c r="G20" s="27">
        <f t="shared" si="15"/>
        <v>354</v>
      </c>
      <c r="H20" s="28">
        <f t="shared" si="0"/>
        <v>0.15509273424657535</v>
      </c>
      <c r="I20" s="3">
        <f t="shared" si="16"/>
        <v>0.35752699999999998</v>
      </c>
      <c r="J20" s="3">
        <f t="shared" si="1"/>
        <v>0.7366335991843993</v>
      </c>
      <c r="K20" s="3">
        <f t="shared" si="17"/>
        <v>14.96282650104523</v>
      </c>
      <c r="L20" s="30">
        <f t="shared" si="2"/>
        <v>16.7</v>
      </c>
      <c r="M20" s="29">
        <f t="shared" si="18"/>
        <v>54.289999999999978</v>
      </c>
      <c r="N20" s="29">
        <f t="shared" si="22"/>
        <v>0</v>
      </c>
      <c r="O20" s="29">
        <f t="shared" si="3"/>
        <v>12.43</v>
      </c>
      <c r="P20" s="29">
        <f t="shared" si="4"/>
        <v>12.43</v>
      </c>
      <c r="Q20" s="23" t="str">
        <f t="shared" si="5"/>
        <v>N</v>
      </c>
      <c r="R20" s="5" t="str">
        <f t="shared" si="19"/>
        <v>12/12/2020</v>
      </c>
      <c r="S20" s="5" t="str">
        <f t="shared" si="20"/>
        <v>31/12/2020</v>
      </c>
      <c r="T20" s="5" t="str">
        <f t="shared" si="21"/>
        <v>12/01/2021</v>
      </c>
      <c r="U20" s="4" t="str">
        <f t="shared" si="6"/>
        <v/>
      </c>
      <c r="V20" s="6" t="str">
        <f t="shared" si="7"/>
        <v/>
      </c>
      <c r="W20" s="22" t="str">
        <f t="shared" si="8"/>
        <v/>
      </c>
      <c r="X20" s="22" t="str">
        <f t="shared" si="9"/>
        <v/>
      </c>
      <c r="Y20" s="22"/>
      <c r="Z20" s="1">
        <v>17</v>
      </c>
      <c r="AA20" s="1">
        <v>1</v>
      </c>
      <c r="AB20" s="1" t="s">
        <v>38</v>
      </c>
      <c r="AC20" s="2">
        <v>44295</v>
      </c>
      <c r="AD20" s="2">
        <v>43780</v>
      </c>
      <c r="AE20" s="36">
        <v>12.22</v>
      </c>
      <c r="AF20" s="36">
        <v>10.97</v>
      </c>
      <c r="AG20" s="36">
        <v>1.25</v>
      </c>
      <c r="AJ20" s="34">
        <f t="shared" si="10"/>
        <v>-0.20999999999999908</v>
      </c>
      <c r="AK20" s="34">
        <f t="shared" si="11"/>
        <v>-1.4599999999999991</v>
      </c>
      <c r="AL20" s="34">
        <f t="shared" si="12"/>
        <v>-1.25</v>
      </c>
    </row>
    <row r="21" spans="2:38" x14ac:dyDescent="0.25">
      <c r="E21" s="25">
        <f t="shared" si="13"/>
        <v>18</v>
      </c>
      <c r="F21" s="26" t="str">
        <f t="shared" si="14"/>
        <v>12/02/2021</v>
      </c>
      <c r="G21" s="27">
        <f t="shared" si="15"/>
        <v>1</v>
      </c>
      <c r="H21" s="28">
        <f t="shared" si="0"/>
        <v>4.381150684931507E-4</v>
      </c>
      <c r="I21" s="3">
        <f t="shared" si="16"/>
        <v>0.358122</v>
      </c>
      <c r="J21" s="3">
        <f t="shared" si="1"/>
        <v>0.73631087634247883</v>
      </c>
      <c r="K21" s="3">
        <f t="shared" si="17"/>
        <v>15.699137377387709</v>
      </c>
      <c r="L21" s="30">
        <f t="shared" si="2"/>
        <v>15.92</v>
      </c>
      <c r="M21" s="29">
        <f t="shared" si="18"/>
        <v>41.859999999999978</v>
      </c>
      <c r="N21" s="29">
        <f t="shared" si="22"/>
        <v>0.01</v>
      </c>
      <c r="O21" s="29">
        <f t="shared" si="3"/>
        <v>12.42</v>
      </c>
      <c r="P21" s="29">
        <f t="shared" si="4"/>
        <v>12.43</v>
      </c>
      <c r="Q21" s="23" t="str">
        <f t="shared" si="5"/>
        <v>N</v>
      </c>
      <c r="R21" s="5" t="str">
        <f t="shared" si="19"/>
        <v/>
      </c>
      <c r="S21" s="5" t="str">
        <f t="shared" si="20"/>
        <v/>
      </c>
      <c r="T21" s="5" t="str">
        <f t="shared" si="21"/>
        <v/>
      </c>
      <c r="U21" s="4" t="str">
        <f t="shared" si="6"/>
        <v/>
      </c>
      <c r="V21" s="6" t="str">
        <f t="shared" si="7"/>
        <v/>
      </c>
      <c r="W21" s="22" t="str">
        <f t="shared" si="8"/>
        <v/>
      </c>
      <c r="X21" s="22" t="str">
        <f t="shared" si="9"/>
        <v/>
      </c>
      <c r="Y21" s="22"/>
      <c r="Z21" s="1">
        <v>18</v>
      </c>
      <c r="AA21" s="1">
        <v>1</v>
      </c>
      <c r="AB21" s="1" t="s">
        <v>38</v>
      </c>
      <c r="AC21" s="2">
        <v>44325</v>
      </c>
      <c r="AD21" s="2">
        <v>43780</v>
      </c>
      <c r="AE21" s="36">
        <v>12.22</v>
      </c>
      <c r="AF21" s="36">
        <v>11.16</v>
      </c>
      <c r="AG21" s="36">
        <v>1.06</v>
      </c>
      <c r="AJ21" s="34">
        <f t="shared" si="10"/>
        <v>-0.20999999999999908</v>
      </c>
      <c r="AK21" s="34">
        <f t="shared" si="11"/>
        <v>-1.2599999999999998</v>
      </c>
      <c r="AL21" s="34">
        <f t="shared" si="12"/>
        <v>-1.05</v>
      </c>
    </row>
    <row r="22" spans="2:38" x14ac:dyDescent="0.25">
      <c r="E22" s="25">
        <f t="shared" si="13"/>
        <v>19</v>
      </c>
      <c r="F22" s="26" t="str">
        <f t="shared" si="14"/>
        <v>12/03/2021</v>
      </c>
      <c r="G22" s="27">
        <f t="shared" si="15"/>
        <v>1</v>
      </c>
      <c r="H22" s="28">
        <f t="shared" si="0"/>
        <v>4.381150684931507E-4</v>
      </c>
      <c r="I22" s="3">
        <f t="shared" si="16"/>
        <v>0.35871700000000001</v>
      </c>
      <c r="J22" s="3">
        <f t="shared" si="1"/>
        <v>0.73598843614969123</v>
      </c>
      <c r="K22" s="3">
        <f t="shared" si="17"/>
        <v>16.4351258135374</v>
      </c>
      <c r="L22" s="30">
        <f t="shared" si="2"/>
        <v>15.21</v>
      </c>
      <c r="M22" s="29">
        <f t="shared" si="18"/>
        <v>29.439999999999976</v>
      </c>
      <c r="N22" s="29">
        <f t="shared" si="22"/>
        <v>0.01</v>
      </c>
      <c r="O22" s="29">
        <f t="shared" si="3"/>
        <v>12.42</v>
      </c>
      <c r="P22" s="29">
        <f t="shared" si="4"/>
        <v>12.43</v>
      </c>
      <c r="Q22" s="23" t="str">
        <f t="shared" si="5"/>
        <v>N</v>
      </c>
      <c r="R22" s="5" t="str">
        <f t="shared" si="19"/>
        <v/>
      </c>
      <c r="S22" s="5" t="str">
        <f t="shared" si="20"/>
        <v/>
      </c>
      <c r="T22" s="5" t="str">
        <f t="shared" si="21"/>
        <v/>
      </c>
      <c r="U22" s="4" t="str">
        <f t="shared" si="6"/>
        <v/>
      </c>
      <c r="V22" s="6" t="str">
        <f t="shared" si="7"/>
        <v/>
      </c>
      <c r="W22" s="22" t="str">
        <f t="shared" si="8"/>
        <v/>
      </c>
      <c r="X22" s="22" t="str">
        <f t="shared" si="9"/>
        <v/>
      </c>
      <c r="Y22" s="22"/>
      <c r="Z22" s="1">
        <v>19</v>
      </c>
      <c r="AA22" s="1">
        <v>1</v>
      </c>
      <c r="AB22" s="1" t="s">
        <v>38</v>
      </c>
      <c r="AC22" s="2">
        <v>44356</v>
      </c>
      <c r="AD22" s="2">
        <v>43780</v>
      </c>
      <c r="AE22" s="36">
        <v>12.22</v>
      </c>
      <c r="AF22" s="36">
        <v>11.27</v>
      </c>
      <c r="AG22" s="36">
        <v>0.95</v>
      </c>
      <c r="AJ22" s="34">
        <f t="shared" si="10"/>
        <v>-0.20999999999999908</v>
      </c>
      <c r="AK22" s="34">
        <f t="shared" si="11"/>
        <v>-1.1500000000000004</v>
      </c>
      <c r="AL22" s="34">
        <f t="shared" si="12"/>
        <v>-0.94</v>
      </c>
    </row>
    <row r="23" spans="2:38" x14ac:dyDescent="0.25">
      <c r="E23" s="25">
        <f t="shared" si="13"/>
        <v>20</v>
      </c>
      <c r="F23" s="26" t="str">
        <f t="shared" si="14"/>
        <v>12/04/2021</v>
      </c>
      <c r="G23" s="27">
        <f t="shared" si="15"/>
        <v>1</v>
      </c>
      <c r="H23" s="28">
        <f t="shared" si="0"/>
        <v>4.381150684931507E-4</v>
      </c>
      <c r="I23" s="3">
        <f t="shared" si="16"/>
        <v>0.35931200000000002</v>
      </c>
      <c r="J23" s="3">
        <f t="shared" si="1"/>
        <v>0.73566627823487174</v>
      </c>
      <c r="K23" s="3">
        <f t="shared" si="17"/>
        <v>17.17079209177227</v>
      </c>
      <c r="L23" s="30">
        <f t="shared" si="2"/>
        <v>14.55</v>
      </c>
      <c r="M23" s="29">
        <f t="shared" si="18"/>
        <v>17.019999999999975</v>
      </c>
      <c r="N23" s="29">
        <f t="shared" si="22"/>
        <v>0</v>
      </c>
      <c r="O23" s="29">
        <f t="shared" si="3"/>
        <v>12.43</v>
      </c>
      <c r="P23" s="29">
        <f t="shared" si="4"/>
        <v>12.43</v>
      </c>
      <c r="Q23" s="23" t="str">
        <f t="shared" si="5"/>
        <v>N</v>
      </c>
      <c r="R23" s="5" t="str">
        <f t="shared" si="19"/>
        <v/>
      </c>
      <c r="S23" s="5" t="str">
        <f t="shared" si="20"/>
        <v/>
      </c>
      <c r="T23" s="5" t="str">
        <f t="shared" si="21"/>
        <v/>
      </c>
      <c r="U23" s="4" t="str">
        <f t="shared" si="6"/>
        <v/>
      </c>
      <c r="V23" s="6" t="str">
        <f t="shared" si="7"/>
        <v/>
      </c>
      <c r="W23" s="22" t="str">
        <f t="shared" si="8"/>
        <v/>
      </c>
      <c r="X23" s="22" t="str">
        <f t="shared" si="9"/>
        <v/>
      </c>
      <c r="Y23" s="22"/>
      <c r="Z23" s="1">
        <v>20</v>
      </c>
      <c r="AA23" s="1">
        <v>1</v>
      </c>
      <c r="AB23" s="1" t="s">
        <v>38</v>
      </c>
      <c r="AC23" s="2">
        <v>44386</v>
      </c>
      <c r="AD23" s="2">
        <v>43780</v>
      </c>
      <c r="AE23" s="36">
        <v>12.22</v>
      </c>
      <c r="AF23" s="36">
        <v>11.45</v>
      </c>
      <c r="AG23" s="36">
        <v>0.77</v>
      </c>
      <c r="AJ23" s="34">
        <f t="shared" si="10"/>
        <v>-0.20999999999999908</v>
      </c>
      <c r="AK23" s="34">
        <f t="shared" si="11"/>
        <v>-0.98000000000000043</v>
      </c>
      <c r="AL23" s="34">
        <f t="shared" si="12"/>
        <v>-0.77</v>
      </c>
    </row>
    <row r="24" spans="2:38" x14ac:dyDescent="0.25">
      <c r="E24" s="25">
        <f t="shared" si="13"/>
        <v>21</v>
      </c>
      <c r="F24" s="26" t="str">
        <f t="shared" si="14"/>
        <v>12/05/2021</v>
      </c>
      <c r="G24" s="27">
        <f t="shared" si="15"/>
        <v>1</v>
      </c>
      <c r="H24" s="28">
        <f t="shared" si="0"/>
        <v>4.381150684931507E-4</v>
      </c>
      <c r="I24" s="7">
        <f t="shared" si="16"/>
        <v>0.35990800000000001</v>
      </c>
      <c r="J24" s="3">
        <f t="shared" si="1"/>
        <v>0.7353438614965131</v>
      </c>
      <c r="K24" s="3">
        <f t="shared" si="17"/>
        <v>17.906135953268784</v>
      </c>
      <c r="L24" s="30">
        <f t="shared" si="2"/>
        <v>13.96</v>
      </c>
      <c r="M24" s="29">
        <f t="shared" si="18"/>
        <v>4.589999999999975</v>
      </c>
      <c r="N24" s="29">
        <f t="shared" si="22"/>
        <v>0</v>
      </c>
      <c r="O24" s="29">
        <f t="shared" si="3"/>
        <v>12.43</v>
      </c>
      <c r="P24" s="29">
        <f t="shared" si="4"/>
        <v>12.43</v>
      </c>
      <c r="Q24" s="23" t="str">
        <f t="shared" si="5"/>
        <v>N</v>
      </c>
      <c r="R24" s="5" t="str">
        <f t="shared" si="19"/>
        <v/>
      </c>
      <c r="S24" s="5" t="str">
        <f t="shared" si="20"/>
        <v/>
      </c>
      <c r="T24" s="5" t="str">
        <f t="shared" si="21"/>
        <v/>
      </c>
      <c r="U24" s="4" t="str">
        <f t="shared" si="6"/>
        <v/>
      </c>
      <c r="V24" s="6" t="str">
        <f t="shared" si="7"/>
        <v/>
      </c>
      <c r="W24" s="22" t="str">
        <f t="shared" si="8"/>
        <v/>
      </c>
      <c r="X24" s="22" t="str">
        <f t="shared" si="9"/>
        <v/>
      </c>
      <c r="Y24" s="22"/>
      <c r="Z24" s="1">
        <v>21</v>
      </c>
      <c r="AA24" s="1">
        <v>1</v>
      </c>
      <c r="AB24" s="1" t="s">
        <v>38</v>
      </c>
      <c r="AC24" s="2">
        <v>44417</v>
      </c>
      <c r="AD24" s="2">
        <v>43780</v>
      </c>
      <c r="AE24" s="36">
        <v>12.22</v>
      </c>
      <c r="AF24" s="36">
        <v>11.58</v>
      </c>
      <c r="AG24" s="36">
        <v>0.64</v>
      </c>
      <c r="AJ24" s="34">
        <f t="shared" si="10"/>
        <v>-0.20999999999999908</v>
      </c>
      <c r="AK24" s="34">
        <f t="shared" si="11"/>
        <v>-0.84999999999999964</v>
      </c>
      <c r="AL24" s="34">
        <f t="shared" si="12"/>
        <v>-0.64</v>
      </c>
    </row>
    <row r="25" spans="2:38" x14ac:dyDescent="0.25">
      <c r="E25" s="25">
        <f t="shared" si="13"/>
        <v>22</v>
      </c>
      <c r="F25" s="26" t="str">
        <f t="shared" si="14"/>
        <v>12/06/2021</v>
      </c>
      <c r="G25" s="27">
        <f t="shared" si="15"/>
        <v>1</v>
      </c>
      <c r="H25" s="28">
        <f t="shared" si="0"/>
        <v>4.381150684931507E-4</v>
      </c>
      <c r="I25" s="3">
        <f t="shared" si="16"/>
        <v>0.36050399999999999</v>
      </c>
      <c r="J25" s="3">
        <f t="shared" si="1"/>
        <v>0.73502172724225734</v>
      </c>
      <c r="K25" s="7">
        <f t="shared" si="17"/>
        <v>18.641157680511043</v>
      </c>
      <c r="L25" s="30">
        <f t="shared" si="2"/>
        <v>13.41</v>
      </c>
      <c r="M25" s="29" t="str">
        <f t="shared" si="18"/>
        <v/>
      </c>
      <c r="N25" s="29" t="str">
        <f t="shared" si="22"/>
        <v/>
      </c>
      <c r="O25" s="29" t="str">
        <f t="shared" si="3"/>
        <v/>
      </c>
      <c r="P25" s="29" t="str">
        <f t="shared" si="4"/>
        <v/>
      </c>
      <c r="Q25" s="23" t="str">
        <f t="shared" si="5"/>
        <v>N</v>
      </c>
      <c r="R25" s="5" t="str">
        <f t="shared" si="19"/>
        <v/>
      </c>
      <c r="S25" s="5" t="str">
        <f t="shared" si="20"/>
        <v/>
      </c>
      <c r="T25" s="5" t="str">
        <f t="shared" si="21"/>
        <v/>
      </c>
      <c r="U25" s="4" t="str">
        <f t="shared" si="6"/>
        <v/>
      </c>
      <c r="V25" s="6" t="str">
        <f t="shared" si="7"/>
        <v/>
      </c>
      <c r="W25" s="22" t="str">
        <f t="shared" si="8"/>
        <v/>
      </c>
      <c r="X25" s="22" t="str">
        <f t="shared" si="9"/>
        <v/>
      </c>
      <c r="Y25" s="22"/>
      <c r="Z25" s="1">
        <v>22</v>
      </c>
      <c r="AA25" s="1">
        <v>1</v>
      </c>
      <c r="AB25" s="1" t="s">
        <v>38</v>
      </c>
      <c r="AC25" s="2">
        <v>44448</v>
      </c>
      <c r="AD25" s="2">
        <v>43780</v>
      </c>
      <c r="AE25" s="36">
        <v>12.22</v>
      </c>
      <c r="AF25" s="36">
        <v>11.74</v>
      </c>
      <c r="AG25" s="36">
        <v>0.48</v>
      </c>
      <c r="AJ25" s="34" t="e">
        <f t="shared" si="10"/>
        <v>#VALUE!</v>
      </c>
      <c r="AK25" s="34" t="e">
        <f t="shared" si="11"/>
        <v>#VALUE!</v>
      </c>
      <c r="AL25" s="34" t="e">
        <f t="shared" si="12"/>
        <v>#VALUE!</v>
      </c>
    </row>
    <row r="26" spans="2:38" x14ac:dyDescent="0.25">
      <c r="E26" s="25">
        <f t="shared" si="13"/>
        <v>23</v>
      </c>
      <c r="F26" s="26" t="str">
        <f t="shared" si="14"/>
        <v>12/07/2021</v>
      </c>
      <c r="G26" s="27">
        <f t="shared" si="15"/>
        <v>1</v>
      </c>
      <c r="H26" s="28">
        <f t="shared" si="0"/>
        <v>4.381150684931507E-4</v>
      </c>
      <c r="I26" s="3">
        <f t="shared" si="16"/>
        <v>0.36109999999999998</v>
      </c>
      <c r="J26" s="3">
        <f t="shared" si="1"/>
        <v>0.73469987510102119</v>
      </c>
      <c r="K26" s="3">
        <f t="shared" si="17"/>
        <v>19.375857555612065</v>
      </c>
      <c r="L26" s="30">
        <f t="shared" si="2"/>
        <v>12.9</v>
      </c>
      <c r="M26" s="29" t="str">
        <f t="shared" si="18"/>
        <v/>
      </c>
      <c r="N26" s="29" t="str">
        <f t="shared" si="22"/>
        <v/>
      </c>
      <c r="O26" s="29" t="str">
        <f t="shared" si="3"/>
        <v/>
      </c>
      <c r="P26" s="29" t="str">
        <f t="shared" si="4"/>
        <v/>
      </c>
      <c r="Q26" s="23" t="str">
        <f t="shared" si="5"/>
        <v>N</v>
      </c>
      <c r="R26" s="5" t="str">
        <f t="shared" si="19"/>
        <v/>
      </c>
      <c r="S26" s="5" t="str">
        <f t="shared" si="20"/>
        <v/>
      </c>
      <c r="T26" s="5" t="str">
        <f t="shared" si="21"/>
        <v/>
      </c>
      <c r="U26" s="4" t="str">
        <f t="shared" si="6"/>
        <v/>
      </c>
      <c r="V26" s="6" t="str">
        <f t="shared" si="7"/>
        <v/>
      </c>
      <c r="W26" s="22" t="str">
        <f t="shared" si="8"/>
        <v/>
      </c>
      <c r="X26" s="22" t="str">
        <f t="shared" si="9"/>
        <v/>
      </c>
      <c r="Y26" s="22"/>
      <c r="Z26" s="1">
        <v>23</v>
      </c>
      <c r="AA26" s="1">
        <v>1</v>
      </c>
      <c r="AB26" s="1" t="s">
        <v>38</v>
      </c>
      <c r="AC26" s="2">
        <v>44478</v>
      </c>
      <c r="AD26" s="2">
        <v>43780</v>
      </c>
      <c r="AE26" s="36">
        <v>12.22</v>
      </c>
      <c r="AF26" s="36">
        <v>11.91</v>
      </c>
      <c r="AG26" s="36">
        <v>0.31</v>
      </c>
      <c r="AJ26" s="34" t="e">
        <f t="shared" si="10"/>
        <v>#VALUE!</v>
      </c>
      <c r="AK26" s="34" t="e">
        <f t="shared" si="11"/>
        <v>#VALUE!</v>
      </c>
      <c r="AL26" s="34" t="e">
        <f t="shared" si="12"/>
        <v>#VALUE!</v>
      </c>
    </row>
    <row r="27" spans="2:38" x14ac:dyDescent="0.25">
      <c r="E27" s="25">
        <f t="shared" si="13"/>
        <v>24</v>
      </c>
      <c r="F27" s="26" t="str">
        <f t="shared" si="14"/>
        <v>12/08/2021</v>
      </c>
      <c r="G27" s="27">
        <f t="shared" si="15"/>
        <v>1</v>
      </c>
      <c r="H27" s="28">
        <f t="shared" si="0"/>
        <v>4.381150684931507E-4</v>
      </c>
      <c r="I27" s="3">
        <f t="shared" si="16"/>
        <v>0.36169600000000002</v>
      </c>
      <c r="J27" s="7">
        <f t="shared" si="1"/>
        <v>0.7343783047023712</v>
      </c>
      <c r="K27" s="3">
        <f t="shared" si="17"/>
        <v>20.110235860314436</v>
      </c>
      <c r="L27" s="30">
        <f t="shared" si="2"/>
        <v>12.43</v>
      </c>
      <c r="M27" s="29" t="str">
        <f t="shared" si="18"/>
        <v/>
      </c>
      <c r="N27" s="29" t="str">
        <f t="shared" si="22"/>
        <v/>
      </c>
      <c r="O27" s="29" t="str">
        <f t="shared" si="3"/>
        <v/>
      </c>
      <c r="P27" s="29" t="str">
        <f t="shared" si="4"/>
        <v/>
      </c>
      <c r="Q27" s="23" t="str">
        <f t="shared" si="5"/>
        <v>N</v>
      </c>
      <c r="R27" s="5" t="str">
        <f t="shared" si="19"/>
        <v/>
      </c>
      <c r="S27" s="5" t="str">
        <f t="shared" si="20"/>
        <v/>
      </c>
      <c r="T27" s="5" t="str">
        <f t="shared" si="21"/>
        <v/>
      </c>
      <c r="U27" s="4" t="str">
        <f t="shared" si="6"/>
        <v/>
      </c>
      <c r="V27" s="6" t="str">
        <f t="shared" si="7"/>
        <v/>
      </c>
      <c r="W27" s="22" t="str">
        <f t="shared" si="8"/>
        <v/>
      </c>
      <c r="X27" s="22" t="str">
        <f t="shared" si="9"/>
        <v/>
      </c>
      <c r="Y27" s="22"/>
      <c r="Z27" s="1">
        <v>24</v>
      </c>
      <c r="AA27" s="1">
        <v>1</v>
      </c>
      <c r="AB27" s="1" t="s">
        <v>38</v>
      </c>
      <c r="AC27" s="2">
        <v>44509</v>
      </c>
      <c r="AD27" s="2">
        <v>43780</v>
      </c>
      <c r="AE27" s="36">
        <v>12.28</v>
      </c>
      <c r="AF27" s="36">
        <v>12.12</v>
      </c>
      <c r="AG27" s="36">
        <v>0.16</v>
      </c>
      <c r="AJ27" s="34" t="e">
        <f t="shared" si="10"/>
        <v>#VALUE!</v>
      </c>
      <c r="AK27" s="34" t="e">
        <f t="shared" si="11"/>
        <v>#VALUE!</v>
      </c>
      <c r="AL27" s="34" t="e">
        <f t="shared" si="12"/>
        <v>#VALUE!</v>
      </c>
    </row>
    <row r="28" spans="2:38" x14ac:dyDescent="0.25">
      <c r="E28" s="25" t="str">
        <f t="shared" si="13"/>
        <v xml:space="preserve"> </v>
      </c>
      <c r="F28" s="26" t="str">
        <f t="shared" si="14"/>
        <v xml:space="preserve"> </v>
      </c>
      <c r="G28" s="27" t="str">
        <f t="shared" si="15"/>
        <v xml:space="preserve"> </v>
      </c>
      <c r="H28" s="28" t="str">
        <f t="shared" si="0"/>
        <v xml:space="preserve"> </v>
      </c>
      <c r="I28" s="3" t="str">
        <f t="shared" si="16"/>
        <v xml:space="preserve"> </v>
      </c>
      <c r="J28" s="3" t="str">
        <f t="shared" si="1"/>
        <v xml:space="preserve"> </v>
      </c>
      <c r="K28" s="3" t="str">
        <f t="shared" si="17"/>
        <v/>
      </c>
      <c r="L28" s="30" t="str">
        <f t="shared" si="2"/>
        <v/>
      </c>
      <c r="M28" s="29" t="str">
        <f t="shared" si="18"/>
        <v/>
      </c>
      <c r="N28" s="29" t="str">
        <f t="shared" si="22"/>
        <v/>
      </c>
      <c r="O28" s="29" t="str">
        <f t="shared" si="3"/>
        <v/>
      </c>
      <c r="P28" s="29" t="str">
        <f t="shared" si="4"/>
        <v/>
      </c>
      <c r="Q28" s="23" t="str">
        <f t="shared" si="5"/>
        <v/>
      </c>
      <c r="R28" s="5" t="str">
        <f t="shared" si="19"/>
        <v/>
      </c>
      <c r="S28" s="5" t="str">
        <f t="shared" si="20"/>
        <v/>
      </c>
      <c r="T28" s="5" t="str">
        <f t="shared" si="21"/>
        <v/>
      </c>
      <c r="U28" s="4" t="str">
        <f t="shared" si="6"/>
        <v xml:space="preserve"> </v>
      </c>
      <c r="V28" s="6" t="str">
        <f t="shared" si="7"/>
        <v xml:space="preserve"> </v>
      </c>
      <c r="W28" s="22" t="str">
        <f t="shared" si="8"/>
        <v/>
      </c>
      <c r="X28" s="22" t="str">
        <f t="shared" si="9"/>
        <v/>
      </c>
      <c r="Y28" s="22"/>
      <c r="AC28" s="2"/>
      <c r="AD28" s="2"/>
      <c r="AJ28" s="34"/>
      <c r="AK28" s="34"/>
      <c r="AL28" s="34"/>
    </row>
    <row r="29" spans="2:38" x14ac:dyDescent="0.25">
      <c r="E29" s="25" t="str">
        <f t="shared" si="13"/>
        <v xml:space="preserve"> </v>
      </c>
      <c r="F29" s="26" t="str">
        <f t="shared" si="14"/>
        <v xml:space="preserve"> </v>
      </c>
      <c r="G29" s="27" t="str">
        <f t="shared" si="15"/>
        <v xml:space="preserve"> </v>
      </c>
      <c r="H29" s="28" t="str">
        <f t="shared" si="0"/>
        <v xml:space="preserve"> </v>
      </c>
      <c r="I29" s="3" t="str">
        <f t="shared" si="16"/>
        <v xml:space="preserve"> </v>
      </c>
      <c r="J29" s="3" t="str">
        <f t="shared" si="1"/>
        <v xml:space="preserve"> </v>
      </c>
      <c r="K29" s="3" t="str">
        <f t="shared" si="17"/>
        <v/>
      </c>
      <c r="L29" s="30" t="str">
        <f t="shared" si="2"/>
        <v/>
      </c>
      <c r="M29" s="29" t="str">
        <f t="shared" si="18"/>
        <v/>
      </c>
      <c r="N29" s="29" t="str">
        <f t="shared" si="22"/>
        <v/>
      </c>
      <c r="O29" s="29" t="str">
        <f t="shared" si="3"/>
        <v/>
      </c>
      <c r="P29" s="29" t="str">
        <f t="shared" si="4"/>
        <v/>
      </c>
      <c r="Q29" s="23" t="str">
        <f t="shared" si="5"/>
        <v/>
      </c>
      <c r="R29" s="5" t="str">
        <f t="shared" si="19"/>
        <v/>
      </c>
      <c r="S29" s="5" t="str">
        <f t="shared" si="20"/>
        <v/>
      </c>
      <c r="T29" s="5" t="str">
        <f t="shared" si="21"/>
        <v/>
      </c>
      <c r="U29" s="4" t="str">
        <f t="shared" si="6"/>
        <v xml:space="preserve"> </v>
      </c>
      <c r="V29" s="6" t="str">
        <f t="shared" si="7"/>
        <v xml:space="preserve"> </v>
      </c>
      <c r="W29" s="22" t="str">
        <f t="shared" si="8"/>
        <v/>
      </c>
      <c r="X29" s="22" t="str">
        <f t="shared" si="9"/>
        <v/>
      </c>
      <c r="Y29" s="22"/>
      <c r="AC29" s="2"/>
      <c r="AD29" s="2"/>
      <c r="AJ29" s="34"/>
      <c r="AK29" s="34"/>
      <c r="AL29" s="34"/>
    </row>
    <row r="30" spans="2:38" x14ac:dyDescent="0.25">
      <c r="E30" s="25" t="str">
        <f t="shared" si="13"/>
        <v xml:space="preserve"> </v>
      </c>
      <c r="F30" s="26" t="str">
        <f t="shared" si="14"/>
        <v xml:space="preserve"> </v>
      </c>
      <c r="G30" s="27" t="str">
        <f t="shared" si="15"/>
        <v xml:space="preserve"> </v>
      </c>
      <c r="H30" s="28" t="str">
        <f t="shared" si="0"/>
        <v xml:space="preserve"> </v>
      </c>
      <c r="I30" s="3" t="str">
        <f t="shared" si="16"/>
        <v xml:space="preserve"> </v>
      </c>
      <c r="J30" s="3" t="str">
        <f t="shared" si="1"/>
        <v xml:space="preserve"> </v>
      </c>
      <c r="K30" s="3" t="str">
        <f t="shared" si="17"/>
        <v/>
      </c>
      <c r="L30" s="30" t="str">
        <f t="shared" si="2"/>
        <v/>
      </c>
      <c r="M30" s="29" t="str">
        <f t="shared" si="18"/>
        <v/>
      </c>
      <c r="N30" s="29" t="str">
        <f t="shared" si="22"/>
        <v/>
      </c>
      <c r="O30" s="29" t="str">
        <f t="shared" si="3"/>
        <v/>
      </c>
      <c r="P30" s="29" t="str">
        <f t="shared" si="4"/>
        <v/>
      </c>
      <c r="Q30" s="23" t="str">
        <f t="shared" si="5"/>
        <v/>
      </c>
      <c r="R30" s="5" t="str">
        <f t="shared" si="19"/>
        <v/>
      </c>
      <c r="S30" s="5" t="str">
        <f t="shared" si="20"/>
        <v/>
      </c>
      <c r="T30" s="5" t="str">
        <f t="shared" si="21"/>
        <v/>
      </c>
      <c r="U30" s="4" t="str">
        <f t="shared" si="6"/>
        <v xml:space="preserve"> </v>
      </c>
      <c r="V30" s="6" t="str">
        <f t="shared" si="7"/>
        <v xml:space="preserve"> </v>
      </c>
      <c r="W30" s="22" t="str">
        <f t="shared" si="8"/>
        <v/>
      </c>
      <c r="X30" s="22" t="str">
        <f t="shared" si="9"/>
        <v/>
      </c>
      <c r="Y30" s="22"/>
      <c r="AC30" s="2"/>
      <c r="AD30" s="2"/>
      <c r="AJ30" s="34"/>
      <c r="AK30" s="34"/>
      <c r="AL30" s="34"/>
    </row>
    <row r="31" spans="2:38" x14ac:dyDescent="0.25">
      <c r="E31" s="25" t="str">
        <f t="shared" si="13"/>
        <v xml:space="preserve"> </v>
      </c>
      <c r="F31" s="26" t="str">
        <f t="shared" si="14"/>
        <v xml:space="preserve"> </v>
      </c>
      <c r="G31" s="27" t="str">
        <f t="shared" si="15"/>
        <v xml:space="preserve"> </v>
      </c>
      <c r="H31" s="28" t="str">
        <f t="shared" si="0"/>
        <v xml:space="preserve"> </v>
      </c>
      <c r="I31" s="3" t="str">
        <f t="shared" si="16"/>
        <v xml:space="preserve"> </v>
      </c>
      <c r="J31" s="3" t="str">
        <f t="shared" si="1"/>
        <v xml:space="preserve"> </v>
      </c>
      <c r="K31" s="3" t="str">
        <f t="shared" si="17"/>
        <v/>
      </c>
      <c r="L31" s="30" t="str">
        <f t="shared" si="2"/>
        <v/>
      </c>
      <c r="M31" s="29" t="str">
        <f t="shared" si="18"/>
        <v/>
      </c>
      <c r="N31" s="29" t="str">
        <f t="shared" si="22"/>
        <v/>
      </c>
      <c r="O31" s="29" t="str">
        <f t="shared" si="3"/>
        <v/>
      </c>
      <c r="P31" s="29" t="str">
        <f t="shared" si="4"/>
        <v/>
      </c>
      <c r="Q31" s="23" t="str">
        <f t="shared" si="5"/>
        <v/>
      </c>
      <c r="R31" s="5" t="str">
        <f t="shared" si="19"/>
        <v/>
      </c>
      <c r="S31" s="5" t="str">
        <f t="shared" si="20"/>
        <v/>
      </c>
      <c r="T31" s="5" t="str">
        <f t="shared" si="21"/>
        <v/>
      </c>
      <c r="U31" s="4" t="str">
        <f t="shared" si="6"/>
        <v xml:space="preserve"> </v>
      </c>
      <c r="V31" s="6" t="str">
        <f t="shared" si="7"/>
        <v xml:space="preserve"> </v>
      </c>
      <c r="W31" s="22" t="str">
        <f t="shared" si="8"/>
        <v/>
      </c>
      <c r="X31" s="22" t="str">
        <f t="shared" si="9"/>
        <v/>
      </c>
      <c r="Y31" s="22"/>
      <c r="AC31" s="2"/>
      <c r="AD31" s="2"/>
      <c r="AJ31" s="34"/>
      <c r="AK31" s="34"/>
      <c r="AL31" s="34"/>
    </row>
    <row r="32" spans="2:38" x14ac:dyDescent="0.25">
      <c r="E32" s="25" t="str">
        <f t="shared" si="13"/>
        <v xml:space="preserve"> </v>
      </c>
      <c r="F32" s="26" t="str">
        <f t="shared" si="14"/>
        <v xml:space="preserve"> </v>
      </c>
      <c r="G32" s="27" t="str">
        <f t="shared" si="15"/>
        <v xml:space="preserve"> </v>
      </c>
      <c r="H32" s="28" t="str">
        <f t="shared" si="0"/>
        <v xml:space="preserve"> </v>
      </c>
      <c r="I32" s="3" t="str">
        <f t="shared" si="16"/>
        <v xml:space="preserve"> </v>
      </c>
      <c r="J32" s="3" t="str">
        <f t="shared" si="1"/>
        <v xml:space="preserve"> </v>
      </c>
      <c r="K32" s="3" t="str">
        <f t="shared" si="17"/>
        <v/>
      </c>
      <c r="L32" s="30" t="str">
        <f t="shared" si="2"/>
        <v/>
      </c>
      <c r="M32" s="29" t="str">
        <f t="shared" si="18"/>
        <v/>
      </c>
      <c r="N32" s="29" t="str">
        <f t="shared" si="22"/>
        <v/>
      </c>
      <c r="O32" s="29" t="str">
        <f t="shared" si="3"/>
        <v/>
      </c>
      <c r="P32" s="29" t="str">
        <f t="shared" si="4"/>
        <v/>
      </c>
      <c r="Q32" s="23" t="str">
        <f t="shared" si="5"/>
        <v/>
      </c>
      <c r="R32" s="5" t="str">
        <f t="shared" si="19"/>
        <v/>
      </c>
      <c r="S32" s="5" t="str">
        <f t="shared" si="20"/>
        <v/>
      </c>
      <c r="T32" s="5" t="str">
        <f t="shared" si="21"/>
        <v/>
      </c>
      <c r="U32" s="4" t="str">
        <f t="shared" si="6"/>
        <v xml:space="preserve"> </v>
      </c>
      <c r="V32" s="6" t="str">
        <f t="shared" si="7"/>
        <v xml:space="preserve"> </v>
      </c>
      <c r="W32" s="22" t="str">
        <f t="shared" si="8"/>
        <v/>
      </c>
      <c r="X32" s="22" t="str">
        <f t="shared" si="9"/>
        <v/>
      </c>
      <c r="Y32" s="22"/>
      <c r="AC32" s="2"/>
      <c r="AD32" s="2"/>
      <c r="AJ32" s="34"/>
      <c r="AK32" s="34"/>
      <c r="AL32" s="34"/>
    </row>
    <row r="33" spans="5:38" x14ac:dyDescent="0.25">
      <c r="E33" s="25" t="str">
        <f t="shared" si="13"/>
        <v xml:space="preserve"> </v>
      </c>
      <c r="F33" s="26" t="str">
        <f t="shared" si="14"/>
        <v xml:space="preserve"> </v>
      </c>
      <c r="G33" s="27" t="str">
        <f t="shared" si="15"/>
        <v xml:space="preserve"> </v>
      </c>
      <c r="H33" s="28" t="str">
        <f t="shared" si="0"/>
        <v xml:space="preserve"> </v>
      </c>
      <c r="I33" s="3" t="str">
        <f t="shared" si="16"/>
        <v xml:space="preserve"> </v>
      </c>
      <c r="J33" s="3" t="str">
        <f t="shared" si="1"/>
        <v xml:space="preserve"> </v>
      </c>
      <c r="K33" s="3" t="str">
        <f t="shared" si="17"/>
        <v/>
      </c>
      <c r="L33" s="30" t="str">
        <f t="shared" si="2"/>
        <v/>
      </c>
      <c r="M33" s="29" t="str">
        <f t="shared" si="18"/>
        <v/>
      </c>
      <c r="N33" s="29" t="str">
        <f t="shared" si="22"/>
        <v/>
      </c>
      <c r="O33" s="29" t="str">
        <f t="shared" si="3"/>
        <v/>
      </c>
      <c r="P33" s="29" t="str">
        <f t="shared" si="4"/>
        <v/>
      </c>
      <c r="Q33" s="23" t="str">
        <f t="shared" si="5"/>
        <v/>
      </c>
      <c r="R33" s="5" t="str">
        <f t="shared" si="19"/>
        <v/>
      </c>
      <c r="S33" s="5" t="str">
        <f t="shared" si="20"/>
        <v/>
      </c>
      <c r="T33" s="5" t="str">
        <f t="shared" si="21"/>
        <v/>
      </c>
      <c r="U33" s="4" t="str">
        <f t="shared" si="6"/>
        <v xml:space="preserve"> </v>
      </c>
      <c r="V33" s="6" t="str">
        <f t="shared" si="7"/>
        <v xml:space="preserve"> </v>
      </c>
      <c r="W33" s="22" t="str">
        <f t="shared" si="8"/>
        <v/>
      </c>
      <c r="X33" s="22" t="str">
        <f t="shared" si="9"/>
        <v/>
      </c>
      <c r="Y33" s="22"/>
      <c r="AC33" s="2"/>
      <c r="AD33" s="2"/>
      <c r="AJ33" s="34"/>
      <c r="AK33" s="34"/>
      <c r="AL33" s="34"/>
    </row>
    <row r="34" spans="5:38" x14ac:dyDescent="0.25">
      <c r="E34" s="25" t="str">
        <f t="shared" si="13"/>
        <v xml:space="preserve"> </v>
      </c>
      <c r="F34" s="26" t="str">
        <f t="shared" si="14"/>
        <v xml:space="preserve"> </v>
      </c>
      <c r="G34" s="27" t="str">
        <f t="shared" si="15"/>
        <v xml:space="preserve"> </v>
      </c>
      <c r="H34" s="28" t="str">
        <f t="shared" si="0"/>
        <v xml:space="preserve"> </v>
      </c>
      <c r="I34" s="3" t="str">
        <f t="shared" si="16"/>
        <v xml:space="preserve"> </v>
      </c>
      <c r="J34" s="3" t="str">
        <f t="shared" si="1"/>
        <v xml:space="preserve"> </v>
      </c>
      <c r="K34" s="3" t="str">
        <f t="shared" si="17"/>
        <v/>
      </c>
      <c r="L34" s="30" t="str">
        <f t="shared" si="2"/>
        <v/>
      </c>
      <c r="M34" s="29" t="str">
        <f t="shared" si="18"/>
        <v/>
      </c>
      <c r="N34" s="29" t="str">
        <f t="shared" si="22"/>
        <v/>
      </c>
      <c r="O34" s="29" t="str">
        <f t="shared" si="3"/>
        <v/>
      </c>
      <c r="P34" s="29" t="str">
        <f t="shared" si="4"/>
        <v/>
      </c>
      <c r="Q34" s="23" t="str">
        <f t="shared" si="5"/>
        <v/>
      </c>
      <c r="R34" s="5" t="str">
        <f t="shared" si="19"/>
        <v/>
      </c>
      <c r="S34" s="5" t="str">
        <f t="shared" si="20"/>
        <v/>
      </c>
      <c r="T34" s="5" t="str">
        <f t="shared" si="21"/>
        <v/>
      </c>
      <c r="U34" s="4" t="str">
        <f t="shared" si="6"/>
        <v xml:space="preserve"> </v>
      </c>
      <c r="V34" s="6" t="str">
        <f t="shared" si="7"/>
        <v xml:space="preserve"> </v>
      </c>
      <c r="W34" s="22" t="str">
        <f t="shared" si="8"/>
        <v/>
      </c>
      <c r="X34" s="22" t="str">
        <f t="shared" si="9"/>
        <v/>
      </c>
      <c r="Y34" s="22"/>
      <c r="AC34" s="2"/>
      <c r="AD34" s="2"/>
      <c r="AJ34" s="34"/>
      <c r="AK34" s="34"/>
      <c r="AL34" s="34"/>
    </row>
    <row r="35" spans="5:38" x14ac:dyDescent="0.25">
      <c r="E35" s="25" t="str">
        <f t="shared" si="13"/>
        <v xml:space="preserve"> </v>
      </c>
      <c r="F35" s="26" t="str">
        <f t="shared" si="14"/>
        <v xml:space="preserve"> </v>
      </c>
      <c r="G35" s="27" t="str">
        <f t="shared" si="15"/>
        <v xml:space="preserve"> </v>
      </c>
      <c r="H35" s="28" t="str">
        <f t="shared" si="0"/>
        <v xml:space="preserve"> </v>
      </c>
      <c r="I35" s="3" t="str">
        <f t="shared" si="16"/>
        <v xml:space="preserve"> </v>
      </c>
      <c r="J35" s="3" t="str">
        <f t="shared" si="1"/>
        <v xml:space="preserve"> </v>
      </c>
      <c r="K35" s="3" t="str">
        <f t="shared" si="17"/>
        <v/>
      </c>
      <c r="L35" s="30" t="str">
        <f t="shared" si="2"/>
        <v/>
      </c>
      <c r="M35" s="29" t="str">
        <f t="shared" si="18"/>
        <v/>
      </c>
      <c r="N35" s="29" t="str">
        <f t="shared" si="22"/>
        <v/>
      </c>
      <c r="O35" s="29" t="str">
        <f t="shared" si="3"/>
        <v/>
      </c>
      <c r="P35" s="29" t="str">
        <f t="shared" si="4"/>
        <v/>
      </c>
      <c r="Q35" s="23" t="str">
        <f t="shared" si="5"/>
        <v/>
      </c>
      <c r="R35" s="5" t="str">
        <f t="shared" si="19"/>
        <v/>
      </c>
      <c r="S35" s="5" t="str">
        <f t="shared" si="20"/>
        <v/>
      </c>
      <c r="T35" s="5" t="str">
        <f t="shared" si="21"/>
        <v/>
      </c>
      <c r="U35" s="4" t="str">
        <f t="shared" si="6"/>
        <v xml:space="preserve"> </v>
      </c>
      <c r="V35" s="6" t="str">
        <f t="shared" si="7"/>
        <v xml:space="preserve"> </v>
      </c>
      <c r="W35" s="22" t="str">
        <f t="shared" si="8"/>
        <v/>
      </c>
      <c r="X35" s="22" t="str">
        <f t="shared" si="9"/>
        <v/>
      </c>
      <c r="Y35" s="22"/>
      <c r="AC35" s="2"/>
      <c r="AD35" s="2"/>
      <c r="AJ35" s="34"/>
      <c r="AK35" s="34"/>
      <c r="AL35" s="34"/>
    </row>
    <row r="36" spans="5:38" x14ac:dyDescent="0.25">
      <c r="E36" s="25" t="str">
        <f t="shared" si="13"/>
        <v xml:space="preserve"> </v>
      </c>
      <c r="F36" s="26" t="str">
        <f t="shared" si="14"/>
        <v xml:space="preserve"> </v>
      </c>
      <c r="G36" s="27" t="str">
        <f t="shared" si="15"/>
        <v xml:space="preserve"> </v>
      </c>
      <c r="H36" s="28" t="str">
        <f t="shared" si="0"/>
        <v xml:space="preserve"> </v>
      </c>
      <c r="I36" s="3" t="str">
        <f t="shared" si="16"/>
        <v xml:space="preserve"> </v>
      </c>
      <c r="J36" s="3" t="str">
        <f t="shared" si="1"/>
        <v xml:space="preserve"> </v>
      </c>
      <c r="K36" s="3" t="str">
        <f t="shared" si="17"/>
        <v/>
      </c>
      <c r="L36" s="30" t="str">
        <f t="shared" si="2"/>
        <v/>
      </c>
      <c r="M36" s="29" t="str">
        <f t="shared" si="18"/>
        <v/>
      </c>
      <c r="N36" s="29" t="str">
        <f t="shared" si="22"/>
        <v/>
      </c>
      <c r="O36" s="29" t="str">
        <f t="shared" si="3"/>
        <v/>
      </c>
      <c r="P36" s="29" t="str">
        <f t="shared" si="4"/>
        <v/>
      </c>
      <c r="Q36" s="23" t="str">
        <f t="shared" ref="Q36:Q69" si="23">IFERROR(IF(IF(DAY(DATE(MID(F36,7,4),3,0))=29,366,365)=366,"Y","N"),"")</f>
        <v/>
      </c>
      <c r="R36" s="5" t="str">
        <f t="shared" si="19"/>
        <v/>
      </c>
      <c r="S36" s="5" t="str">
        <f t="shared" si="20"/>
        <v/>
      </c>
      <c r="T36" s="5" t="str">
        <f t="shared" si="21"/>
        <v/>
      </c>
      <c r="U36" s="4" t="str">
        <f t="shared" ref="U36:U69" si="24">IFERROR(IF(E36=" "," ",IF($E36&lt;=$C$16,SUM(S36-R36)*$C$14/IF(DAY(DATE(MID(S36,7,4),3,0))=29,366,365),SUM(S36-R36)*$C$15/IF(DAY(DATE(MID(S36,7,4),3,0))=29,366,365))),"")</f>
        <v xml:space="preserve"> </v>
      </c>
      <c r="V36" s="6" t="str">
        <f t="shared" ref="V36:V69" si="25">IFERROR(IF(E36=" "," ",IF($E36&lt;=$C$16,SUM(T36-S36)*$C$14/IF(DAY(DATE(MID(T36,7,4),3,0))=29,366,365),SUM(T36-S36)*$C$15/IF(DAY(DATE(MID(T36,7,4),3,0))=29,366,365))),"")</f>
        <v xml:space="preserve"> </v>
      </c>
      <c r="W36" s="22" t="str">
        <f t="shared" ref="W36:W69" si="26">IFERROR(TRUNC(U36*M36,2),"")</f>
        <v/>
      </c>
      <c r="X36" s="22" t="str">
        <f t="shared" ref="X36:X69" si="27">IFERROR(TRUNC(V36*M36,2),"")</f>
        <v/>
      </c>
      <c r="Y36" s="22"/>
      <c r="AC36" s="2"/>
      <c r="AD36" s="2"/>
      <c r="AJ36" s="34"/>
      <c r="AK36" s="34"/>
      <c r="AL36" s="34"/>
    </row>
    <row r="37" spans="5:38" x14ac:dyDescent="0.25">
      <c r="E37" s="25" t="str">
        <f t="shared" si="13"/>
        <v xml:space="preserve"> </v>
      </c>
      <c r="F37" s="26" t="str">
        <f t="shared" si="14"/>
        <v xml:space="preserve"> </v>
      </c>
      <c r="G37" s="27" t="str">
        <f t="shared" si="15"/>
        <v xml:space="preserve"> </v>
      </c>
      <c r="H37" s="28" t="str">
        <f t="shared" si="0"/>
        <v xml:space="preserve"> </v>
      </c>
      <c r="I37" s="3" t="str">
        <f t="shared" si="16"/>
        <v xml:space="preserve"> </v>
      </c>
      <c r="J37" s="3" t="str">
        <f t="shared" si="1"/>
        <v xml:space="preserve"> </v>
      </c>
      <c r="K37" s="3" t="str">
        <f t="shared" si="17"/>
        <v/>
      </c>
      <c r="L37" s="30" t="str">
        <f t="shared" si="2"/>
        <v/>
      </c>
      <c r="M37" s="29" t="str">
        <f t="shared" si="18"/>
        <v/>
      </c>
      <c r="N37" s="29" t="str">
        <f t="shared" si="22"/>
        <v/>
      </c>
      <c r="O37" s="29" t="str">
        <f t="shared" si="3"/>
        <v/>
      </c>
      <c r="P37" s="29" t="str">
        <f t="shared" si="4"/>
        <v/>
      </c>
      <c r="Q37" s="23" t="str">
        <f t="shared" si="23"/>
        <v/>
      </c>
      <c r="R37" s="5" t="str">
        <f t="shared" ref="R37:R68" si="28">TEXT(IF(AND(Q36="N",Q37="Y"),EDATE($F$4,E37-2),IF(AND(Q36="Y",Q37="N"),EDATE($F$4,E37-2),"")),"DD/MM/YYYY")</f>
        <v/>
      </c>
      <c r="S37" s="5" t="str">
        <f t="shared" si="20"/>
        <v/>
      </c>
      <c r="T37" s="5" t="str">
        <f t="shared" si="21"/>
        <v/>
      </c>
      <c r="U37" s="4" t="str">
        <f t="shared" si="24"/>
        <v xml:space="preserve"> </v>
      </c>
      <c r="V37" s="6" t="str">
        <f t="shared" si="25"/>
        <v xml:space="preserve"> </v>
      </c>
      <c r="W37" s="22" t="str">
        <f t="shared" si="26"/>
        <v/>
      </c>
      <c r="X37" s="22" t="str">
        <f t="shared" si="27"/>
        <v/>
      </c>
      <c r="Y37" s="22"/>
      <c r="AC37" s="2"/>
      <c r="AD37" s="2"/>
      <c r="AJ37" s="34"/>
      <c r="AK37" s="34"/>
      <c r="AL37" s="34"/>
    </row>
    <row r="38" spans="5:38" x14ac:dyDescent="0.25">
      <c r="E38" s="25" t="str">
        <f t="shared" si="13"/>
        <v xml:space="preserve"> </v>
      </c>
      <c r="F38" s="26" t="str">
        <f t="shared" si="14"/>
        <v xml:space="preserve"> </v>
      </c>
      <c r="G38" s="27" t="str">
        <f t="shared" si="15"/>
        <v xml:space="preserve"> </v>
      </c>
      <c r="H38" s="28" t="str">
        <f t="shared" si="0"/>
        <v xml:space="preserve"> </v>
      </c>
      <c r="I38" s="3" t="str">
        <f t="shared" si="16"/>
        <v xml:space="preserve"> </v>
      </c>
      <c r="J38" s="3" t="str">
        <f t="shared" si="1"/>
        <v xml:space="preserve"> </v>
      </c>
      <c r="K38" s="3" t="str">
        <f t="shared" si="17"/>
        <v/>
      </c>
      <c r="L38" s="30" t="str">
        <f t="shared" si="2"/>
        <v/>
      </c>
      <c r="M38" s="29" t="str">
        <f t="shared" si="18"/>
        <v/>
      </c>
      <c r="N38" s="29" t="str">
        <f t="shared" si="22"/>
        <v/>
      </c>
      <c r="O38" s="29" t="str">
        <f t="shared" si="3"/>
        <v/>
      </c>
      <c r="P38" s="29" t="str">
        <f t="shared" si="4"/>
        <v/>
      </c>
      <c r="Q38" s="23" t="str">
        <f t="shared" si="23"/>
        <v/>
      </c>
      <c r="R38" s="5" t="str">
        <f t="shared" si="28"/>
        <v/>
      </c>
      <c r="S38" s="5" t="str">
        <f t="shared" si="20"/>
        <v/>
      </c>
      <c r="T38" s="5" t="str">
        <f t="shared" si="21"/>
        <v/>
      </c>
      <c r="U38" s="4" t="str">
        <f t="shared" si="24"/>
        <v xml:space="preserve"> </v>
      </c>
      <c r="V38" s="6" t="str">
        <f t="shared" si="25"/>
        <v xml:space="preserve"> </v>
      </c>
      <c r="W38" s="22" t="str">
        <f t="shared" si="26"/>
        <v/>
      </c>
      <c r="X38" s="22" t="str">
        <f t="shared" si="27"/>
        <v/>
      </c>
      <c r="Y38" s="22"/>
      <c r="AC38" s="2"/>
      <c r="AD38" s="2"/>
      <c r="AJ38" s="34"/>
      <c r="AK38" s="34"/>
      <c r="AL38" s="34"/>
    </row>
    <row r="39" spans="5:38" x14ac:dyDescent="0.25">
      <c r="E39" s="25" t="str">
        <f t="shared" si="13"/>
        <v xml:space="preserve"> </v>
      </c>
      <c r="F39" s="26" t="str">
        <f t="shared" si="14"/>
        <v xml:space="preserve"> </v>
      </c>
      <c r="G39" s="27" t="str">
        <f t="shared" si="15"/>
        <v xml:space="preserve"> </v>
      </c>
      <c r="H39" s="28" t="str">
        <f t="shared" si="0"/>
        <v xml:space="preserve"> </v>
      </c>
      <c r="I39" s="3" t="str">
        <f t="shared" si="16"/>
        <v xml:space="preserve"> </v>
      </c>
      <c r="J39" s="3" t="str">
        <f t="shared" si="1"/>
        <v xml:space="preserve"> </v>
      </c>
      <c r="K39" s="3" t="str">
        <f t="shared" si="17"/>
        <v/>
      </c>
      <c r="L39" s="30" t="str">
        <f t="shared" si="2"/>
        <v/>
      </c>
      <c r="M39" s="29" t="str">
        <f t="shared" si="18"/>
        <v/>
      </c>
      <c r="N39" s="29" t="str">
        <f t="shared" si="22"/>
        <v/>
      </c>
      <c r="O39" s="29" t="str">
        <f t="shared" si="3"/>
        <v/>
      </c>
      <c r="P39" s="29" t="str">
        <f t="shared" si="4"/>
        <v/>
      </c>
      <c r="Q39" s="23" t="str">
        <f t="shared" si="23"/>
        <v/>
      </c>
      <c r="R39" s="5" t="str">
        <f t="shared" si="28"/>
        <v/>
      </c>
      <c r="S39" s="5" t="str">
        <f t="shared" si="20"/>
        <v/>
      </c>
      <c r="T39" s="5" t="str">
        <f t="shared" si="21"/>
        <v/>
      </c>
      <c r="U39" s="4" t="str">
        <f t="shared" si="24"/>
        <v xml:space="preserve"> </v>
      </c>
      <c r="V39" s="6" t="str">
        <f t="shared" si="25"/>
        <v xml:space="preserve"> </v>
      </c>
      <c r="W39" s="22" t="str">
        <f t="shared" si="26"/>
        <v/>
      </c>
      <c r="X39" s="22" t="str">
        <f t="shared" si="27"/>
        <v/>
      </c>
      <c r="Y39" s="22"/>
      <c r="AC39" s="2"/>
      <c r="AD39" s="2"/>
      <c r="AJ39" s="34"/>
      <c r="AK39" s="34"/>
      <c r="AL39" s="34"/>
    </row>
    <row r="40" spans="5:38" x14ac:dyDescent="0.25">
      <c r="E40" s="25" t="str">
        <f t="shared" si="13"/>
        <v xml:space="preserve"> </v>
      </c>
      <c r="F40" s="26" t="str">
        <f t="shared" si="14"/>
        <v xml:space="preserve"> </v>
      </c>
      <c r="G40" s="27" t="str">
        <f t="shared" si="15"/>
        <v xml:space="preserve"> </v>
      </c>
      <c r="H40" s="28" t="str">
        <f t="shared" si="0"/>
        <v xml:space="preserve"> </v>
      </c>
      <c r="I40" s="3" t="str">
        <f t="shared" si="16"/>
        <v xml:space="preserve"> </v>
      </c>
      <c r="J40" s="3" t="str">
        <f t="shared" si="1"/>
        <v xml:space="preserve"> </v>
      </c>
      <c r="K40" s="3" t="str">
        <f t="shared" si="17"/>
        <v/>
      </c>
      <c r="L40" s="30" t="str">
        <f t="shared" si="2"/>
        <v/>
      </c>
      <c r="M40" s="29" t="str">
        <f t="shared" si="18"/>
        <v/>
      </c>
      <c r="N40" s="29" t="str">
        <f t="shared" si="22"/>
        <v/>
      </c>
      <c r="O40" s="29" t="str">
        <f t="shared" si="3"/>
        <v/>
      </c>
      <c r="P40" s="29" t="str">
        <f t="shared" si="4"/>
        <v/>
      </c>
      <c r="Q40" s="23" t="str">
        <f t="shared" si="23"/>
        <v/>
      </c>
      <c r="R40" s="5" t="str">
        <f t="shared" si="28"/>
        <v/>
      </c>
      <c r="S40" s="5" t="str">
        <f t="shared" si="20"/>
        <v/>
      </c>
      <c r="T40" s="5" t="str">
        <f t="shared" si="21"/>
        <v/>
      </c>
      <c r="U40" s="4" t="str">
        <f t="shared" si="24"/>
        <v xml:space="preserve"> </v>
      </c>
      <c r="V40" s="6" t="str">
        <f t="shared" si="25"/>
        <v xml:space="preserve"> </v>
      </c>
      <c r="W40" s="22" t="str">
        <f t="shared" si="26"/>
        <v/>
      </c>
      <c r="X40" s="22" t="str">
        <f t="shared" si="27"/>
        <v/>
      </c>
      <c r="Y40" s="22"/>
      <c r="AC40" s="2"/>
      <c r="AD40" s="2"/>
      <c r="AJ40" s="34"/>
      <c r="AK40" s="34"/>
      <c r="AL40" s="34"/>
    </row>
    <row r="41" spans="5:38" x14ac:dyDescent="0.25">
      <c r="E41" s="25" t="str">
        <f t="shared" si="13"/>
        <v xml:space="preserve"> </v>
      </c>
      <c r="F41" s="26" t="str">
        <f t="shared" si="14"/>
        <v xml:space="preserve"> </v>
      </c>
      <c r="G41" s="27" t="str">
        <f t="shared" si="15"/>
        <v xml:space="preserve"> </v>
      </c>
      <c r="H41" s="28" t="str">
        <f t="shared" si="0"/>
        <v xml:space="preserve"> </v>
      </c>
      <c r="I41" s="3" t="str">
        <f t="shared" si="16"/>
        <v xml:space="preserve"> </v>
      </c>
      <c r="J41" s="3" t="str">
        <f t="shared" si="1"/>
        <v xml:space="preserve"> </v>
      </c>
      <c r="K41" s="3" t="str">
        <f t="shared" si="17"/>
        <v/>
      </c>
      <c r="L41" s="30" t="str">
        <f t="shared" si="2"/>
        <v/>
      </c>
      <c r="M41" s="29" t="str">
        <f t="shared" si="18"/>
        <v/>
      </c>
      <c r="N41" s="29" t="str">
        <f t="shared" si="22"/>
        <v/>
      </c>
      <c r="O41" s="29" t="str">
        <f t="shared" si="3"/>
        <v/>
      </c>
      <c r="P41" s="29" t="str">
        <f t="shared" si="4"/>
        <v/>
      </c>
      <c r="Q41" s="23" t="str">
        <f t="shared" si="23"/>
        <v/>
      </c>
      <c r="R41" s="5" t="str">
        <f t="shared" si="28"/>
        <v/>
      </c>
      <c r="S41" s="5" t="str">
        <f t="shared" si="20"/>
        <v/>
      </c>
      <c r="T41" s="5" t="str">
        <f t="shared" si="21"/>
        <v/>
      </c>
      <c r="U41" s="4" t="str">
        <f t="shared" si="24"/>
        <v xml:space="preserve"> </v>
      </c>
      <c r="V41" s="6" t="str">
        <f t="shared" si="25"/>
        <v xml:space="preserve"> </v>
      </c>
      <c r="W41" s="22" t="str">
        <f t="shared" si="26"/>
        <v/>
      </c>
      <c r="X41" s="22" t="str">
        <f t="shared" si="27"/>
        <v/>
      </c>
      <c r="Y41" s="22"/>
      <c r="AC41" s="2"/>
      <c r="AD41" s="2"/>
      <c r="AJ41" s="34"/>
      <c r="AK41" s="34"/>
      <c r="AL41" s="34"/>
    </row>
    <row r="42" spans="5:38" x14ac:dyDescent="0.25">
      <c r="E42" s="25" t="str">
        <f t="shared" si="13"/>
        <v xml:space="preserve"> </v>
      </c>
      <c r="F42" s="26" t="str">
        <f t="shared" si="14"/>
        <v xml:space="preserve"> </v>
      </c>
      <c r="G42" s="27" t="str">
        <f t="shared" si="15"/>
        <v xml:space="preserve"> </v>
      </c>
      <c r="H42" s="28" t="str">
        <f t="shared" si="0"/>
        <v xml:space="preserve"> </v>
      </c>
      <c r="I42" s="3" t="str">
        <f t="shared" si="16"/>
        <v xml:space="preserve"> </v>
      </c>
      <c r="J42" s="3" t="str">
        <f t="shared" si="1"/>
        <v xml:space="preserve"> </v>
      </c>
      <c r="K42" s="3" t="str">
        <f t="shared" si="17"/>
        <v/>
      </c>
      <c r="L42" s="30" t="str">
        <f t="shared" si="2"/>
        <v/>
      </c>
      <c r="M42" s="29" t="str">
        <f t="shared" si="18"/>
        <v/>
      </c>
      <c r="N42" s="29" t="str">
        <f t="shared" si="22"/>
        <v/>
      </c>
      <c r="O42" s="29" t="str">
        <f t="shared" si="3"/>
        <v/>
      </c>
      <c r="P42" s="29" t="str">
        <f t="shared" si="4"/>
        <v/>
      </c>
      <c r="Q42" s="23" t="str">
        <f t="shared" si="23"/>
        <v/>
      </c>
      <c r="R42" s="5" t="str">
        <f t="shared" si="28"/>
        <v/>
      </c>
      <c r="S42" s="5" t="str">
        <f t="shared" si="20"/>
        <v/>
      </c>
      <c r="T42" s="5" t="str">
        <f t="shared" si="21"/>
        <v/>
      </c>
      <c r="U42" s="4" t="str">
        <f t="shared" si="24"/>
        <v xml:space="preserve"> </v>
      </c>
      <c r="V42" s="6" t="str">
        <f t="shared" si="25"/>
        <v xml:space="preserve"> </v>
      </c>
      <c r="W42" s="22" t="str">
        <f t="shared" si="26"/>
        <v/>
      </c>
      <c r="X42" s="22" t="str">
        <f t="shared" si="27"/>
        <v/>
      </c>
      <c r="Y42" s="22"/>
      <c r="AC42" s="2"/>
      <c r="AD42" s="2"/>
      <c r="AJ42" s="34"/>
      <c r="AK42" s="34"/>
      <c r="AL42" s="34"/>
    </row>
    <row r="43" spans="5:38" x14ac:dyDescent="0.25">
      <c r="E43" s="25" t="str">
        <f t="shared" si="13"/>
        <v xml:space="preserve"> </v>
      </c>
      <c r="F43" s="26" t="str">
        <f t="shared" si="14"/>
        <v xml:space="preserve"> </v>
      </c>
      <c r="G43" s="27" t="str">
        <f t="shared" si="15"/>
        <v xml:space="preserve"> </v>
      </c>
      <c r="H43" s="28" t="str">
        <f t="shared" si="0"/>
        <v xml:space="preserve"> </v>
      </c>
      <c r="I43" s="3" t="str">
        <f t="shared" si="16"/>
        <v xml:space="preserve"> </v>
      </c>
      <c r="J43" s="3" t="str">
        <f t="shared" si="1"/>
        <v xml:space="preserve"> </v>
      </c>
      <c r="K43" s="3" t="str">
        <f t="shared" si="17"/>
        <v/>
      </c>
      <c r="L43" s="30" t="str">
        <f t="shared" si="2"/>
        <v/>
      </c>
      <c r="M43" s="29" t="str">
        <f t="shared" si="18"/>
        <v/>
      </c>
      <c r="N43" s="29" t="str">
        <f t="shared" si="22"/>
        <v/>
      </c>
      <c r="O43" s="29" t="str">
        <f t="shared" si="3"/>
        <v/>
      </c>
      <c r="P43" s="29" t="str">
        <f t="shared" si="4"/>
        <v/>
      </c>
      <c r="Q43" s="23" t="str">
        <f t="shared" si="23"/>
        <v/>
      </c>
      <c r="R43" s="5" t="str">
        <f t="shared" si="28"/>
        <v/>
      </c>
      <c r="S43" s="5" t="str">
        <f t="shared" si="20"/>
        <v/>
      </c>
      <c r="T43" s="5" t="str">
        <f t="shared" si="21"/>
        <v/>
      </c>
      <c r="U43" s="4" t="str">
        <f t="shared" si="24"/>
        <v xml:space="preserve"> </v>
      </c>
      <c r="V43" s="6" t="str">
        <f t="shared" si="25"/>
        <v xml:space="preserve"> </v>
      </c>
      <c r="W43" s="22" t="str">
        <f t="shared" si="26"/>
        <v/>
      </c>
      <c r="X43" s="22" t="str">
        <f t="shared" si="27"/>
        <v/>
      </c>
      <c r="Y43" s="22"/>
      <c r="AC43" s="2"/>
      <c r="AD43" s="2"/>
      <c r="AJ43" s="34"/>
      <c r="AK43" s="34"/>
      <c r="AL43" s="34"/>
    </row>
    <row r="44" spans="5:38" x14ac:dyDescent="0.25">
      <c r="E44" s="25" t="str">
        <f t="shared" si="13"/>
        <v xml:space="preserve"> </v>
      </c>
      <c r="F44" s="26" t="str">
        <f t="shared" si="14"/>
        <v xml:space="preserve"> </v>
      </c>
      <c r="G44" s="27" t="str">
        <f t="shared" si="15"/>
        <v xml:space="preserve"> </v>
      </c>
      <c r="H44" s="28" t="str">
        <f t="shared" si="0"/>
        <v xml:space="preserve"> </v>
      </c>
      <c r="I44" s="3" t="str">
        <f t="shared" si="16"/>
        <v xml:space="preserve"> </v>
      </c>
      <c r="J44" s="3" t="str">
        <f t="shared" si="1"/>
        <v xml:space="preserve"> </v>
      </c>
      <c r="K44" s="3" t="str">
        <f t="shared" si="17"/>
        <v/>
      </c>
      <c r="L44" s="30" t="str">
        <f t="shared" si="2"/>
        <v/>
      </c>
      <c r="M44" s="29" t="str">
        <f t="shared" si="18"/>
        <v/>
      </c>
      <c r="N44" s="29" t="str">
        <f t="shared" si="22"/>
        <v/>
      </c>
      <c r="O44" s="29" t="str">
        <f t="shared" si="3"/>
        <v/>
      </c>
      <c r="P44" s="29" t="str">
        <f t="shared" si="4"/>
        <v/>
      </c>
      <c r="Q44" s="23" t="str">
        <f t="shared" si="23"/>
        <v/>
      </c>
      <c r="R44" s="5" t="str">
        <f t="shared" si="28"/>
        <v/>
      </c>
      <c r="S44" s="5" t="str">
        <f t="shared" si="20"/>
        <v/>
      </c>
      <c r="T44" s="5" t="str">
        <f t="shared" si="21"/>
        <v/>
      </c>
      <c r="U44" s="4" t="str">
        <f t="shared" si="24"/>
        <v xml:space="preserve"> </v>
      </c>
      <c r="V44" s="6" t="str">
        <f t="shared" si="25"/>
        <v xml:space="preserve"> </v>
      </c>
      <c r="W44" s="22" t="str">
        <f t="shared" si="26"/>
        <v/>
      </c>
      <c r="X44" s="22" t="str">
        <f t="shared" si="27"/>
        <v/>
      </c>
      <c r="Y44" s="22"/>
      <c r="AC44" s="2"/>
      <c r="AD44" s="2"/>
      <c r="AJ44" s="34"/>
      <c r="AK44" s="34"/>
      <c r="AL44" s="34"/>
    </row>
    <row r="45" spans="5:38" x14ac:dyDescent="0.25">
      <c r="E45" s="25" t="str">
        <f t="shared" si="13"/>
        <v xml:space="preserve"> </v>
      </c>
      <c r="F45" s="26" t="str">
        <f t="shared" si="14"/>
        <v xml:space="preserve"> </v>
      </c>
      <c r="G45" s="27" t="str">
        <f t="shared" si="15"/>
        <v xml:space="preserve"> </v>
      </c>
      <c r="H45" s="28" t="str">
        <f t="shared" si="0"/>
        <v xml:space="preserve"> </v>
      </c>
      <c r="I45" s="3" t="str">
        <f t="shared" si="16"/>
        <v xml:space="preserve"> </v>
      </c>
      <c r="J45" s="3" t="str">
        <f t="shared" si="1"/>
        <v xml:space="preserve"> </v>
      </c>
      <c r="K45" s="3" t="str">
        <f t="shared" si="17"/>
        <v/>
      </c>
      <c r="L45" s="30" t="str">
        <f t="shared" si="2"/>
        <v/>
      </c>
      <c r="M45" s="29" t="str">
        <f t="shared" si="18"/>
        <v/>
      </c>
      <c r="N45" s="29" t="str">
        <f t="shared" si="22"/>
        <v/>
      </c>
      <c r="O45" s="29" t="str">
        <f t="shared" si="3"/>
        <v/>
      </c>
      <c r="P45" s="29" t="str">
        <f t="shared" si="4"/>
        <v/>
      </c>
      <c r="Q45" s="23" t="str">
        <f t="shared" si="23"/>
        <v/>
      </c>
      <c r="R45" s="5" t="str">
        <f t="shared" si="28"/>
        <v/>
      </c>
      <c r="S45" s="5" t="str">
        <f t="shared" si="20"/>
        <v/>
      </c>
      <c r="T45" s="5" t="str">
        <f t="shared" si="21"/>
        <v/>
      </c>
      <c r="U45" s="4" t="str">
        <f t="shared" si="24"/>
        <v xml:space="preserve"> </v>
      </c>
      <c r="V45" s="6" t="str">
        <f t="shared" si="25"/>
        <v xml:space="preserve"> </v>
      </c>
      <c r="W45" s="22" t="str">
        <f t="shared" si="26"/>
        <v/>
      </c>
      <c r="X45" s="22" t="str">
        <f t="shared" si="27"/>
        <v/>
      </c>
      <c r="Y45" s="22"/>
      <c r="AC45" s="2"/>
      <c r="AD45" s="2"/>
      <c r="AJ45" s="34"/>
      <c r="AK45" s="34"/>
      <c r="AL45" s="34"/>
    </row>
    <row r="46" spans="5:38" x14ac:dyDescent="0.25">
      <c r="E46" s="25" t="str">
        <f t="shared" si="13"/>
        <v xml:space="preserve"> </v>
      </c>
      <c r="F46" s="26" t="str">
        <f t="shared" si="14"/>
        <v xml:space="preserve"> </v>
      </c>
      <c r="G46" s="27" t="str">
        <f t="shared" si="15"/>
        <v xml:space="preserve"> </v>
      </c>
      <c r="H46" s="28" t="str">
        <f t="shared" si="0"/>
        <v xml:space="preserve"> </v>
      </c>
      <c r="I46" s="3" t="str">
        <f t="shared" si="16"/>
        <v xml:space="preserve"> </v>
      </c>
      <c r="J46" s="3" t="str">
        <f t="shared" si="1"/>
        <v xml:space="preserve"> </v>
      </c>
      <c r="K46" s="3" t="str">
        <f t="shared" si="17"/>
        <v/>
      </c>
      <c r="L46" s="30" t="str">
        <f t="shared" si="2"/>
        <v/>
      </c>
      <c r="M46" s="29" t="str">
        <f t="shared" si="18"/>
        <v/>
      </c>
      <c r="N46" s="29" t="str">
        <f t="shared" si="22"/>
        <v/>
      </c>
      <c r="O46" s="29" t="str">
        <f t="shared" si="3"/>
        <v/>
      </c>
      <c r="P46" s="29" t="str">
        <f t="shared" si="4"/>
        <v/>
      </c>
      <c r="Q46" s="23" t="str">
        <f t="shared" si="23"/>
        <v/>
      </c>
      <c r="R46" s="5" t="str">
        <f t="shared" si="28"/>
        <v/>
      </c>
      <c r="S46" s="5" t="str">
        <f t="shared" si="20"/>
        <v/>
      </c>
      <c r="T46" s="5" t="str">
        <f t="shared" si="21"/>
        <v/>
      </c>
      <c r="U46" s="4" t="str">
        <f t="shared" si="24"/>
        <v xml:space="preserve"> </v>
      </c>
      <c r="V46" s="6" t="str">
        <f t="shared" si="25"/>
        <v xml:space="preserve"> </v>
      </c>
      <c r="W46" s="22" t="str">
        <f t="shared" si="26"/>
        <v/>
      </c>
      <c r="X46" s="22" t="str">
        <f t="shared" si="27"/>
        <v/>
      </c>
      <c r="Y46" s="22"/>
      <c r="AC46" s="2"/>
      <c r="AD46" s="2"/>
      <c r="AJ46" s="34"/>
      <c r="AK46" s="34"/>
      <c r="AL46" s="34"/>
    </row>
    <row r="47" spans="5:38" x14ac:dyDescent="0.25">
      <c r="E47" s="25" t="str">
        <f t="shared" si="13"/>
        <v xml:space="preserve"> </v>
      </c>
      <c r="F47" s="26" t="str">
        <f t="shared" si="14"/>
        <v xml:space="preserve"> </v>
      </c>
      <c r="G47" s="27" t="str">
        <f t="shared" si="15"/>
        <v xml:space="preserve"> </v>
      </c>
      <c r="H47" s="28" t="str">
        <f t="shared" si="0"/>
        <v xml:space="preserve"> </v>
      </c>
      <c r="I47" s="3" t="str">
        <f t="shared" si="16"/>
        <v xml:space="preserve"> </v>
      </c>
      <c r="J47" s="3" t="str">
        <f t="shared" si="1"/>
        <v xml:space="preserve"> </v>
      </c>
      <c r="K47" s="3" t="str">
        <f t="shared" si="17"/>
        <v/>
      </c>
      <c r="L47" s="30" t="str">
        <f t="shared" si="2"/>
        <v/>
      </c>
      <c r="M47" s="29" t="str">
        <f t="shared" si="18"/>
        <v/>
      </c>
      <c r="N47" s="29" t="str">
        <f t="shared" si="22"/>
        <v/>
      </c>
      <c r="O47" s="29" t="str">
        <f t="shared" si="3"/>
        <v/>
      </c>
      <c r="P47" s="29" t="str">
        <f t="shared" si="4"/>
        <v/>
      </c>
      <c r="Q47" s="23" t="str">
        <f t="shared" si="23"/>
        <v/>
      </c>
      <c r="R47" s="5" t="str">
        <f t="shared" si="28"/>
        <v/>
      </c>
      <c r="S47" s="5" t="str">
        <f t="shared" si="20"/>
        <v/>
      </c>
      <c r="T47" s="5" t="str">
        <f t="shared" si="21"/>
        <v/>
      </c>
      <c r="U47" s="4" t="str">
        <f t="shared" si="24"/>
        <v xml:space="preserve"> </v>
      </c>
      <c r="V47" s="6" t="str">
        <f t="shared" si="25"/>
        <v xml:space="preserve"> </v>
      </c>
      <c r="W47" s="22" t="str">
        <f t="shared" si="26"/>
        <v/>
      </c>
      <c r="X47" s="22" t="str">
        <f t="shared" si="27"/>
        <v/>
      </c>
      <c r="Y47" s="22"/>
      <c r="AC47" s="2"/>
      <c r="AD47" s="2"/>
      <c r="AJ47" s="34"/>
      <c r="AK47" s="34"/>
      <c r="AL47" s="34"/>
    </row>
    <row r="48" spans="5:38" x14ac:dyDescent="0.25">
      <c r="E48" s="25" t="str">
        <f t="shared" si="13"/>
        <v xml:space="preserve"> </v>
      </c>
      <c r="F48" s="26" t="str">
        <f t="shared" si="14"/>
        <v xml:space="preserve"> </v>
      </c>
      <c r="G48" s="27" t="str">
        <f t="shared" si="15"/>
        <v xml:space="preserve"> </v>
      </c>
      <c r="H48" s="28" t="str">
        <f t="shared" si="0"/>
        <v xml:space="preserve"> </v>
      </c>
      <c r="I48" s="3" t="str">
        <f t="shared" si="16"/>
        <v xml:space="preserve"> </v>
      </c>
      <c r="J48" s="3" t="str">
        <f t="shared" si="1"/>
        <v xml:space="preserve"> </v>
      </c>
      <c r="K48" s="3" t="str">
        <f t="shared" si="17"/>
        <v/>
      </c>
      <c r="L48" s="30" t="str">
        <f t="shared" si="2"/>
        <v/>
      </c>
      <c r="M48" s="29" t="str">
        <f t="shared" si="18"/>
        <v/>
      </c>
      <c r="N48" s="29" t="str">
        <f t="shared" si="22"/>
        <v/>
      </c>
      <c r="O48" s="29" t="str">
        <f t="shared" si="3"/>
        <v/>
      </c>
      <c r="P48" s="29" t="str">
        <f t="shared" si="4"/>
        <v/>
      </c>
      <c r="Q48" s="23" t="str">
        <f t="shared" si="23"/>
        <v/>
      </c>
      <c r="R48" s="5" t="str">
        <f t="shared" si="28"/>
        <v/>
      </c>
      <c r="S48" s="5" t="str">
        <f t="shared" si="20"/>
        <v/>
      </c>
      <c r="T48" s="5" t="str">
        <f t="shared" si="21"/>
        <v/>
      </c>
      <c r="U48" s="4" t="str">
        <f t="shared" si="24"/>
        <v xml:space="preserve"> </v>
      </c>
      <c r="V48" s="6" t="str">
        <f t="shared" si="25"/>
        <v xml:space="preserve"> </v>
      </c>
      <c r="W48" s="22" t="str">
        <f t="shared" si="26"/>
        <v/>
      </c>
      <c r="X48" s="22" t="str">
        <f t="shared" si="27"/>
        <v/>
      </c>
      <c r="Y48" s="22"/>
      <c r="AC48" s="2"/>
      <c r="AD48" s="2"/>
      <c r="AJ48" s="34"/>
      <c r="AK48" s="34"/>
      <c r="AL48" s="34"/>
    </row>
    <row r="49" spans="5:38" x14ac:dyDescent="0.25">
      <c r="E49" s="25" t="str">
        <f t="shared" si="13"/>
        <v xml:space="preserve"> </v>
      </c>
      <c r="F49" s="26" t="str">
        <f t="shared" si="14"/>
        <v xml:space="preserve"> </v>
      </c>
      <c r="G49" s="27" t="str">
        <f t="shared" si="15"/>
        <v xml:space="preserve"> </v>
      </c>
      <c r="H49" s="28" t="str">
        <f t="shared" si="0"/>
        <v xml:space="preserve"> </v>
      </c>
      <c r="I49" s="3" t="str">
        <f t="shared" si="16"/>
        <v xml:space="preserve"> </v>
      </c>
      <c r="J49" s="3" t="str">
        <f t="shared" si="1"/>
        <v xml:space="preserve"> </v>
      </c>
      <c r="K49" s="3" t="str">
        <f t="shared" si="17"/>
        <v/>
      </c>
      <c r="L49" s="30" t="str">
        <f t="shared" si="2"/>
        <v/>
      </c>
      <c r="M49" s="29" t="str">
        <f t="shared" si="18"/>
        <v/>
      </c>
      <c r="N49" s="29" t="str">
        <f t="shared" si="22"/>
        <v/>
      </c>
      <c r="O49" s="29" t="str">
        <f t="shared" si="3"/>
        <v/>
      </c>
      <c r="P49" s="29" t="str">
        <f t="shared" si="4"/>
        <v/>
      </c>
      <c r="Q49" s="23" t="str">
        <f t="shared" si="23"/>
        <v/>
      </c>
      <c r="R49" s="5" t="str">
        <f t="shared" si="28"/>
        <v/>
      </c>
      <c r="S49" s="5" t="str">
        <f t="shared" si="20"/>
        <v/>
      </c>
      <c r="T49" s="5" t="str">
        <f t="shared" si="21"/>
        <v/>
      </c>
      <c r="U49" s="4" t="str">
        <f t="shared" si="24"/>
        <v xml:space="preserve"> </v>
      </c>
      <c r="V49" s="6" t="str">
        <f t="shared" si="25"/>
        <v xml:space="preserve"> </v>
      </c>
      <c r="W49" s="22" t="str">
        <f t="shared" si="26"/>
        <v/>
      </c>
      <c r="X49" s="22" t="str">
        <f t="shared" si="27"/>
        <v/>
      </c>
      <c r="Y49" s="22"/>
      <c r="AC49" s="2"/>
      <c r="AD49" s="2"/>
      <c r="AJ49" s="34"/>
      <c r="AK49" s="34"/>
      <c r="AL49" s="34"/>
    </row>
    <row r="50" spans="5:38" x14ac:dyDescent="0.25">
      <c r="E50" s="25" t="str">
        <f t="shared" si="13"/>
        <v xml:space="preserve"> </v>
      </c>
      <c r="F50" s="26" t="str">
        <f t="shared" si="14"/>
        <v xml:space="preserve"> </v>
      </c>
      <c r="G50" s="27" t="str">
        <f t="shared" si="15"/>
        <v xml:space="preserve"> </v>
      </c>
      <c r="H50" s="28" t="str">
        <f t="shared" si="0"/>
        <v xml:space="preserve"> </v>
      </c>
      <c r="I50" s="3" t="str">
        <f t="shared" si="16"/>
        <v xml:space="preserve"> </v>
      </c>
      <c r="J50" s="3" t="str">
        <f t="shared" si="1"/>
        <v xml:space="preserve"> </v>
      </c>
      <c r="K50" s="3" t="str">
        <f t="shared" si="17"/>
        <v/>
      </c>
      <c r="L50" s="30" t="str">
        <f t="shared" si="2"/>
        <v/>
      </c>
      <c r="M50" s="29" t="str">
        <f t="shared" si="18"/>
        <v/>
      </c>
      <c r="N50" s="29" t="str">
        <f t="shared" si="22"/>
        <v/>
      </c>
      <c r="O50" s="29" t="str">
        <f t="shared" si="3"/>
        <v/>
      </c>
      <c r="P50" s="29" t="str">
        <f t="shared" si="4"/>
        <v/>
      </c>
      <c r="Q50" s="23" t="str">
        <f t="shared" si="23"/>
        <v/>
      </c>
      <c r="R50" s="5" t="str">
        <f t="shared" si="28"/>
        <v/>
      </c>
      <c r="S50" s="5" t="str">
        <f t="shared" si="20"/>
        <v/>
      </c>
      <c r="T50" s="5" t="str">
        <f t="shared" si="21"/>
        <v/>
      </c>
      <c r="U50" s="4" t="str">
        <f t="shared" si="24"/>
        <v xml:space="preserve"> </v>
      </c>
      <c r="V50" s="6" t="str">
        <f t="shared" si="25"/>
        <v xml:space="preserve"> </v>
      </c>
      <c r="W50" s="22" t="str">
        <f t="shared" si="26"/>
        <v/>
      </c>
      <c r="X50" s="22" t="str">
        <f t="shared" si="27"/>
        <v/>
      </c>
      <c r="Y50" s="22"/>
      <c r="AC50" s="2"/>
      <c r="AD50" s="2"/>
      <c r="AJ50" s="34"/>
      <c r="AK50" s="34"/>
      <c r="AL50" s="34"/>
    </row>
    <row r="51" spans="5:38" x14ac:dyDescent="0.25">
      <c r="E51" s="25" t="str">
        <f t="shared" si="13"/>
        <v xml:space="preserve"> </v>
      </c>
      <c r="F51" s="26" t="str">
        <f t="shared" si="14"/>
        <v xml:space="preserve"> </v>
      </c>
      <c r="G51" s="27" t="str">
        <f t="shared" si="15"/>
        <v xml:space="preserve"> </v>
      </c>
      <c r="H51" s="28" t="str">
        <f t="shared" si="0"/>
        <v xml:space="preserve"> </v>
      </c>
      <c r="I51" s="3" t="str">
        <f t="shared" si="16"/>
        <v xml:space="preserve"> </v>
      </c>
      <c r="J51" s="3" t="str">
        <f t="shared" si="1"/>
        <v xml:space="preserve"> </v>
      </c>
      <c r="K51" s="3" t="str">
        <f t="shared" si="17"/>
        <v/>
      </c>
      <c r="L51" s="30" t="str">
        <f t="shared" si="2"/>
        <v/>
      </c>
      <c r="M51" s="29" t="str">
        <f t="shared" si="18"/>
        <v/>
      </c>
      <c r="N51" s="29" t="str">
        <f t="shared" si="22"/>
        <v/>
      </c>
      <c r="O51" s="29" t="str">
        <f t="shared" si="3"/>
        <v/>
      </c>
      <c r="P51" s="29" t="str">
        <f t="shared" si="4"/>
        <v/>
      </c>
      <c r="Q51" s="23" t="str">
        <f t="shared" si="23"/>
        <v/>
      </c>
      <c r="R51" s="5" t="str">
        <f t="shared" si="28"/>
        <v/>
      </c>
      <c r="S51" s="5" t="str">
        <f t="shared" si="20"/>
        <v/>
      </c>
      <c r="T51" s="5" t="str">
        <f t="shared" si="21"/>
        <v/>
      </c>
      <c r="U51" s="4" t="str">
        <f t="shared" si="24"/>
        <v xml:space="preserve"> </v>
      </c>
      <c r="V51" s="6" t="str">
        <f t="shared" si="25"/>
        <v xml:space="preserve"> </v>
      </c>
      <c r="W51" s="22" t="str">
        <f t="shared" si="26"/>
        <v/>
      </c>
      <c r="X51" s="22" t="str">
        <f t="shared" si="27"/>
        <v/>
      </c>
      <c r="Y51" s="22"/>
      <c r="AC51" s="2"/>
      <c r="AD51" s="2"/>
      <c r="AJ51" s="34"/>
      <c r="AK51" s="34"/>
      <c r="AL51" s="34"/>
    </row>
    <row r="52" spans="5:38" x14ac:dyDescent="0.25">
      <c r="E52" s="25" t="str">
        <f t="shared" si="13"/>
        <v xml:space="preserve"> </v>
      </c>
      <c r="F52" s="26" t="str">
        <f t="shared" si="14"/>
        <v xml:space="preserve"> </v>
      </c>
      <c r="G52" s="27" t="str">
        <f t="shared" si="15"/>
        <v xml:space="preserve"> </v>
      </c>
      <c r="H52" s="28" t="str">
        <f t="shared" si="0"/>
        <v xml:space="preserve"> </v>
      </c>
      <c r="I52" s="3" t="str">
        <f t="shared" si="16"/>
        <v xml:space="preserve"> </v>
      </c>
      <c r="J52" s="3" t="str">
        <f t="shared" si="1"/>
        <v xml:space="preserve"> </v>
      </c>
      <c r="K52" s="3" t="str">
        <f t="shared" si="17"/>
        <v/>
      </c>
      <c r="L52" s="30" t="str">
        <f t="shared" si="2"/>
        <v/>
      </c>
      <c r="M52" s="29" t="str">
        <f t="shared" si="18"/>
        <v/>
      </c>
      <c r="N52" s="29" t="str">
        <f t="shared" si="22"/>
        <v/>
      </c>
      <c r="O52" s="29" t="str">
        <f t="shared" si="3"/>
        <v/>
      </c>
      <c r="P52" s="29" t="str">
        <f t="shared" si="4"/>
        <v/>
      </c>
      <c r="Q52" s="23" t="str">
        <f t="shared" si="23"/>
        <v/>
      </c>
      <c r="R52" s="5" t="str">
        <f t="shared" si="28"/>
        <v/>
      </c>
      <c r="S52" s="5" t="str">
        <f t="shared" si="20"/>
        <v/>
      </c>
      <c r="T52" s="5" t="str">
        <f t="shared" si="21"/>
        <v/>
      </c>
      <c r="U52" s="4" t="str">
        <f t="shared" si="24"/>
        <v xml:space="preserve"> </v>
      </c>
      <c r="V52" s="6" t="str">
        <f t="shared" si="25"/>
        <v xml:space="preserve"> </v>
      </c>
      <c r="W52" s="22" t="str">
        <f t="shared" si="26"/>
        <v/>
      </c>
      <c r="X52" s="22" t="str">
        <f t="shared" si="27"/>
        <v/>
      </c>
      <c r="Y52" s="22"/>
      <c r="AC52" s="2"/>
      <c r="AD52" s="2"/>
      <c r="AJ52" s="34"/>
      <c r="AK52" s="34"/>
      <c r="AL52" s="34"/>
    </row>
    <row r="53" spans="5:38" x14ac:dyDescent="0.25">
      <c r="E53" s="25" t="str">
        <f t="shared" si="13"/>
        <v xml:space="preserve"> </v>
      </c>
      <c r="F53" s="26" t="str">
        <f t="shared" si="14"/>
        <v xml:space="preserve"> </v>
      </c>
      <c r="G53" s="27" t="str">
        <f t="shared" si="15"/>
        <v xml:space="preserve"> </v>
      </c>
      <c r="H53" s="28" t="str">
        <f t="shared" si="0"/>
        <v xml:space="preserve"> </v>
      </c>
      <c r="I53" s="3" t="str">
        <f t="shared" si="16"/>
        <v xml:space="preserve"> </v>
      </c>
      <c r="J53" s="3" t="str">
        <f t="shared" si="1"/>
        <v xml:space="preserve"> </v>
      </c>
      <c r="K53" s="3" t="str">
        <f t="shared" si="17"/>
        <v/>
      </c>
      <c r="L53" s="30" t="str">
        <f t="shared" si="2"/>
        <v/>
      </c>
      <c r="M53" s="29" t="str">
        <f t="shared" si="18"/>
        <v/>
      </c>
      <c r="N53" s="29" t="str">
        <f t="shared" si="22"/>
        <v/>
      </c>
      <c r="O53" s="29" t="str">
        <f t="shared" si="3"/>
        <v/>
      </c>
      <c r="P53" s="29" t="str">
        <f t="shared" si="4"/>
        <v/>
      </c>
      <c r="Q53" s="23" t="str">
        <f t="shared" si="23"/>
        <v/>
      </c>
      <c r="R53" s="5" t="str">
        <f t="shared" si="28"/>
        <v/>
      </c>
      <c r="S53" s="5" t="str">
        <f t="shared" si="20"/>
        <v/>
      </c>
      <c r="T53" s="5" t="str">
        <f t="shared" si="21"/>
        <v/>
      </c>
      <c r="U53" s="4" t="str">
        <f t="shared" si="24"/>
        <v xml:space="preserve"> </v>
      </c>
      <c r="V53" s="6" t="str">
        <f t="shared" si="25"/>
        <v xml:space="preserve"> </v>
      </c>
      <c r="W53" s="22" t="str">
        <f t="shared" si="26"/>
        <v/>
      </c>
      <c r="X53" s="22" t="str">
        <f t="shared" si="27"/>
        <v/>
      </c>
      <c r="Y53" s="22"/>
      <c r="AC53" s="2"/>
      <c r="AD53" s="2"/>
      <c r="AJ53" s="34"/>
      <c r="AK53" s="34"/>
      <c r="AL53" s="34"/>
    </row>
    <row r="54" spans="5:38" x14ac:dyDescent="0.25">
      <c r="E54" s="25" t="str">
        <f t="shared" si="13"/>
        <v xml:space="preserve"> </v>
      </c>
      <c r="F54" s="26" t="str">
        <f t="shared" si="14"/>
        <v xml:space="preserve"> </v>
      </c>
      <c r="G54" s="27" t="str">
        <f t="shared" si="15"/>
        <v xml:space="preserve"> </v>
      </c>
      <c r="H54" s="28" t="str">
        <f t="shared" si="0"/>
        <v xml:space="preserve"> </v>
      </c>
      <c r="I54" s="3" t="str">
        <f t="shared" si="16"/>
        <v xml:space="preserve"> </v>
      </c>
      <c r="J54" s="3" t="str">
        <f t="shared" si="1"/>
        <v xml:space="preserve"> </v>
      </c>
      <c r="K54" s="3" t="str">
        <f t="shared" si="17"/>
        <v/>
      </c>
      <c r="L54" s="30" t="str">
        <f t="shared" si="2"/>
        <v/>
      </c>
      <c r="M54" s="29" t="str">
        <f t="shared" si="18"/>
        <v/>
      </c>
      <c r="N54" s="29" t="str">
        <f t="shared" si="22"/>
        <v/>
      </c>
      <c r="O54" s="29" t="str">
        <f t="shared" si="3"/>
        <v/>
      </c>
      <c r="P54" s="29" t="str">
        <f t="shared" si="4"/>
        <v/>
      </c>
      <c r="Q54" s="23" t="str">
        <f t="shared" si="23"/>
        <v/>
      </c>
      <c r="R54" s="5" t="str">
        <f t="shared" si="28"/>
        <v/>
      </c>
      <c r="S54" s="5" t="str">
        <f t="shared" si="20"/>
        <v/>
      </c>
      <c r="T54" s="5" t="str">
        <f t="shared" si="21"/>
        <v/>
      </c>
      <c r="U54" s="4" t="str">
        <f t="shared" si="24"/>
        <v xml:space="preserve"> </v>
      </c>
      <c r="V54" s="6" t="str">
        <f t="shared" si="25"/>
        <v xml:space="preserve"> </v>
      </c>
      <c r="W54" s="22" t="str">
        <f t="shared" si="26"/>
        <v/>
      </c>
      <c r="X54" s="22" t="str">
        <f t="shared" si="27"/>
        <v/>
      </c>
      <c r="Y54" s="22"/>
      <c r="AC54" s="2"/>
      <c r="AD54" s="2"/>
      <c r="AJ54" s="34"/>
      <c r="AK54" s="34"/>
      <c r="AL54" s="34"/>
    </row>
    <row r="55" spans="5:38" x14ac:dyDescent="0.25">
      <c r="E55" s="25" t="str">
        <f t="shared" si="13"/>
        <v xml:space="preserve"> </v>
      </c>
      <c r="F55" s="26" t="str">
        <f t="shared" si="14"/>
        <v xml:space="preserve"> </v>
      </c>
      <c r="G55" s="27" t="str">
        <f t="shared" si="15"/>
        <v xml:space="preserve"> </v>
      </c>
      <c r="H55" s="28" t="str">
        <f t="shared" si="0"/>
        <v xml:space="preserve"> </v>
      </c>
      <c r="I55" s="3" t="str">
        <f t="shared" si="16"/>
        <v xml:space="preserve"> </v>
      </c>
      <c r="J55" s="3" t="str">
        <f t="shared" si="1"/>
        <v xml:space="preserve"> </v>
      </c>
      <c r="K55" s="3" t="str">
        <f t="shared" si="17"/>
        <v/>
      </c>
      <c r="L55" s="30" t="str">
        <f t="shared" si="2"/>
        <v/>
      </c>
      <c r="M55" s="29" t="str">
        <f t="shared" si="18"/>
        <v/>
      </c>
      <c r="N55" s="29" t="str">
        <f t="shared" si="22"/>
        <v/>
      </c>
      <c r="O55" s="29" t="str">
        <f t="shared" si="3"/>
        <v/>
      </c>
      <c r="P55" s="29" t="str">
        <f t="shared" si="4"/>
        <v/>
      </c>
      <c r="Q55" s="23" t="str">
        <f t="shared" si="23"/>
        <v/>
      </c>
      <c r="R55" s="5" t="str">
        <f t="shared" si="28"/>
        <v/>
      </c>
      <c r="S55" s="5" t="str">
        <f t="shared" si="20"/>
        <v/>
      </c>
      <c r="T55" s="5" t="str">
        <f t="shared" si="21"/>
        <v/>
      </c>
      <c r="U55" s="4" t="str">
        <f t="shared" si="24"/>
        <v xml:space="preserve"> </v>
      </c>
      <c r="V55" s="6" t="str">
        <f t="shared" si="25"/>
        <v xml:space="preserve"> </v>
      </c>
      <c r="W55" s="22" t="str">
        <f t="shared" si="26"/>
        <v/>
      </c>
      <c r="X55" s="22" t="str">
        <f t="shared" si="27"/>
        <v/>
      </c>
      <c r="Y55" s="22"/>
      <c r="AC55" s="2"/>
      <c r="AD55" s="2"/>
      <c r="AJ55" s="34"/>
      <c r="AK55" s="34"/>
      <c r="AL55" s="34"/>
    </row>
    <row r="56" spans="5:38" x14ac:dyDescent="0.25">
      <c r="E56" s="25" t="str">
        <f t="shared" si="13"/>
        <v xml:space="preserve"> </v>
      </c>
      <c r="F56" s="26" t="str">
        <f t="shared" si="14"/>
        <v xml:space="preserve"> </v>
      </c>
      <c r="G56" s="27" t="str">
        <f t="shared" si="15"/>
        <v xml:space="preserve"> </v>
      </c>
      <c r="H56" s="28" t="str">
        <f t="shared" si="0"/>
        <v xml:space="preserve"> </v>
      </c>
      <c r="I56" s="3" t="str">
        <f t="shared" si="16"/>
        <v xml:space="preserve"> </v>
      </c>
      <c r="J56" s="3" t="str">
        <f t="shared" si="1"/>
        <v xml:space="preserve"> </v>
      </c>
      <c r="K56" s="3" t="str">
        <f t="shared" si="17"/>
        <v/>
      </c>
      <c r="L56" s="30" t="str">
        <f t="shared" si="2"/>
        <v/>
      </c>
      <c r="M56" s="29" t="str">
        <f t="shared" si="18"/>
        <v/>
      </c>
      <c r="N56" s="29" t="str">
        <f t="shared" si="22"/>
        <v/>
      </c>
      <c r="O56" s="29" t="str">
        <f t="shared" si="3"/>
        <v/>
      </c>
      <c r="P56" s="29" t="str">
        <f t="shared" si="4"/>
        <v/>
      </c>
      <c r="Q56" s="23" t="str">
        <f t="shared" si="23"/>
        <v/>
      </c>
      <c r="R56" s="5" t="str">
        <f t="shared" si="28"/>
        <v/>
      </c>
      <c r="S56" s="5" t="str">
        <f t="shared" si="20"/>
        <v/>
      </c>
      <c r="T56" s="5" t="str">
        <f t="shared" si="21"/>
        <v/>
      </c>
      <c r="U56" s="4" t="str">
        <f t="shared" si="24"/>
        <v xml:space="preserve"> </v>
      </c>
      <c r="V56" s="6" t="str">
        <f t="shared" si="25"/>
        <v xml:space="preserve"> </v>
      </c>
      <c r="W56" s="22" t="str">
        <f t="shared" si="26"/>
        <v/>
      </c>
      <c r="X56" s="22" t="str">
        <f t="shared" si="27"/>
        <v/>
      </c>
      <c r="Y56" s="22"/>
      <c r="AC56" s="2"/>
      <c r="AD56" s="2"/>
      <c r="AJ56" s="34"/>
      <c r="AK56" s="34"/>
      <c r="AL56" s="34"/>
    </row>
    <row r="57" spans="5:38" x14ac:dyDescent="0.25">
      <c r="E57" s="25" t="str">
        <f t="shared" si="13"/>
        <v xml:space="preserve"> </v>
      </c>
      <c r="F57" s="26" t="str">
        <f t="shared" si="14"/>
        <v xml:space="preserve"> </v>
      </c>
      <c r="G57" s="27" t="str">
        <f t="shared" si="15"/>
        <v xml:space="preserve"> </v>
      </c>
      <c r="H57" s="28" t="str">
        <f t="shared" si="0"/>
        <v xml:space="preserve"> </v>
      </c>
      <c r="I57" s="3" t="str">
        <f t="shared" si="16"/>
        <v xml:space="preserve"> </v>
      </c>
      <c r="J57" s="3" t="str">
        <f t="shared" si="1"/>
        <v xml:space="preserve"> </v>
      </c>
      <c r="K57" s="3" t="str">
        <f t="shared" si="17"/>
        <v/>
      </c>
      <c r="L57" s="30" t="str">
        <f t="shared" si="2"/>
        <v/>
      </c>
      <c r="M57" s="29" t="str">
        <f t="shared" si="18"/>
        <v/>
      </c>
      <c r="N57" s="29" t="str">
        <f t="shared" si="22"/>
        <v/>
      </c>
      <c r="O57" s="29" t="str">
        <f t="shared" si="3"/>
        <v/>
      </c>
      <c r="P57" s="29" t="str">
        <f t="shared" si="4"/>
        <v/>
      </c>
      <c r="Q57" s="23" t="str">
        <f t="shared" si="23"/>
        <v/>
      </c>
      <c r="R57" s="5" t="str">
        <f t="shared" si="28"/>
        <v/>
      </c>
      <c r="S57" s="5" t="str">
        <f t="shared" si="20"/>
        <v/>
      </c>
      <c r="T57" s="5" t="str">
        <f t="shared" si="21"/>
        <v/>
      </c>
      <c r="U57" s="4" t="str">
        <f t="shared" si="24"/>
        <v xml:space="preserve"> </v>
      </c>
      <c r="V57" s="6" t="str">
        <f t="shared" si="25"/>
        <v xml:space="preserve"> </v>
      </c>
      <c r="W57" s="22" t="str">
        <f t="shared" si="26"/>
        <v/>
      </c>
      <c r="X57" s="22" t="str">
        <f t="shared" si="27"/>
        <v/>
      </c>
      <c r="Y57" s="22"/>
      <c r="AC57" s="2"/>
      <c r="AD57" s="2"/>
      <c r="AJ57" s="34"/>
      <c r="AK57" s="34"/>
      <c r="AL57" s="34"/>
    </row>
    <row r="58" spans="5:38" x14ac:dyDescent="0.25">
      <c r="E58" s="25" t="str">
        <f t="shared" si="13"/>
        <v xml:space="preserve"> </v>
      </c>
      <c r="F58" s="26" t="str">
        <f t="shared" si="14"/>
        <v xml:space="preserve"> </v>
      </c>
      <c r="G58" s="27" t="str">
        <f t="shared" si="15"/>
        <v xml:space="preserve"> </v>
      </c>
      <c r="H58" s="28" t="str">
        <f t="shared" si="0"/>
        <v xml:space="preserve"> </v>
      </c>
      <c r="I58" s="3" t="str">
        <f t="shared" si="16"/>
        <v xml:space="preserve"> </v>
      </c>
      <c r="J58" s="3" t="str">
        <f t="shared" si="1"/>
        <v xml:space="preserve"> </v>
      </c>
      <c r="K58" s="3" t="str">
        <f t="shared" si="17"/>
        <v/>
      </c>
      <c r="L58" s="30" t="str">
        <f t="shared" si="2"/>
        <v/>
      </c>
      <c r="M58" s="29" t="str">
        <f t="shared" si="18"/>
        <v/>
      </c>
      <c r="N58" s="29" t="str">
        <f t="shared" si="22"/>
        <v/>
      </c>
      <c r="O58" s="29" t="str">
        <f t="shared" si="3"/>
        <v/>
      </c>
      <c r="P58" s="29" t="str">
        <f t="shared" si="4"/>
        <v/>
      </c>
      <c r="Q58" s="23" t="str">
        <f t="shared" si="23"/>
        <v/>
      </c>
      <c r="R58" s="5" t="str">
        <f t="shared" si="28"/>
        <v/>
      </c>
      <c r="S58" s="5" t="str">
        <f t="shared" si="20"/>
        <v/>
      </c>
      <c r="T58" s="5" t="str">
        <f t="shared" si="21"/>
        <v/>
      </c>
      <c r="U58" s="4" t="str">
        <f t="shared" si="24"/>
        <v xml:space="preserve"> </v>
      </c>
      <c r="V58" s="6" t="str">
        <f t="shared" si="25"/>
        <v xml:space="preserve"> </v>
      </c>
      <c r="W58" s="22" t="str">
        <f t="shared" si="26"/>
        <v/>
      </c>
      <c r="X58" s="22" t="str">
        <f t="shared" si="27"/>
        <v/>
      </c>
      <c r="Y58" s="22"/>
      <c r="AC58" s="2"/>
      <c r="AD58" s="2"/>
      <c r="AJ58" s="34"/>
      <c r="AK58" s="34"/>
      <c r="AL58" s="34"/>
    </row>
    <row r="59" spans="5:38" x14ac:dyDescent="0.25">
      <c r="E59" s="25" t="str">
        <f t="shared" si="13"/>
        <v xml:space="preserve"> </v>
      </c>
      <c r="F59" s="26" t="str">
        <f t="shared" si="14"/>
        <v xml:space="preserve"> </v>
      </c>
      <c r="G59" s="27" t="str">
        <f t="shared" si="15"/>
        <v xml:space="preserve"> </v>
      </c>
      <c r="H59" s="28" t="str">
        <f t="shared" si="0"/>
        <v xml:space="preserve"> </v>
      </c>
      <c r="I59" s="3" t="str">
        <f t="shared" si="16"/>
        <v xml:space="preserve"> </v>
      </c>
      <c r="J59" s="3" t="str">
        <f t="shared" si="1"/>
        <v xml:space="preserve"> </v>
      </c>
      <c r="K59" s="3" t="str">
        <f t="shared" si="17"/>
        <v/>
      </c>
      <c r="L59" s="30" t="str">
        <f t="shared" si="2"/>
        <v/>
      </c>
      <c r="M59" s="29" t="str">
        <f t="shared" si="18"/>
        <v/>
      </c>
      <c r="N59" s="29" t="str">
        <f t="shared" si="22"/>
        <v/>
      </c>
      <c r="O59" s="29" t="str">
        <f t="shared" si="3"/>
        <v/>
      </c>
      <c r="P59" s="29" t="str">
        <f t="shared" si="4"/>
        <v/>
      </c>
      <c r="Q59" s="23" t="str">
        <f t="shared" si="23"/>
        <v/>
      </c>
      <c r="R59" s="5" t="str">
        <f t="shared" si="28"/>
        <v/>
      </c>
      <c r="S59" s="5" t="str">
        <f t="shared" si="20"/>
        <v/>
      </c>
      <c r="T59" s="5" t="str">
        <f t="shared" si="21"/>
        <v/>
      </c>
      <c r="U59" s="4" t="str">
        <f t="shared" si="24"/>
        <v xml:space="preserve"> </v>
      </c>
      <c r="V59" s="6" t="str">
        <f t="shared" si="25"/>
        <v xml:space="preserve"> </v>
      </c>
      <c r="W59" s="22" t="str">
        <f t="shared" si="26"/>
        <v/>
      </c>
      <c r="X59" s="22" t="str">
        <f t="shared" si="27"/>
        <v/>
      </c>
      <c r="Y59" s="22"/>
      <c r="AC59" s="2"/>
      <c r="AD59" s="2"/>
      <c r="AJ59" s="34"/>
      <c r="AK59" s="34"/>
      <c r="AL59" s="34"/>
    </row>
    <row r="60" spans="5:38" x14ac:dyDescent="0.25">
      <c r="E60" s="25" t="str">
        <f t="shared" si="13"/>
        <v xml:space="preserve"> </v>
      </c>
      <c r="F60" s="26" t="str">
        <f t="shared" si="14"/>
        <v xml:space="preserve"> </v>
      </c>
      <c r="G60" s="27" t="str">
        <f t="shared" si="15"/>
        <v xml:space="preserve"> </v>
      </c>
      <c r="H60" s="28" t="str">
        <f t="shared" si="0"/>
        <v xml:space="preserve"> </v>
      </c>
      <c r="I60" s="3" t="str">
        <f t="shared" si="16"/>
        <v xml:space="preserve"> </v>
      </c>
      <c r="J60" s="3" t="str">
        <f t="shared" si="1"/>
        <v xml:space="preserve"> </v>
      </c>
      <c r="K60" s="3" t="str">
        <f t="shared" si="17"/>
        <v/>
      </c>
      <c r="L60" s="30" t="str">
        <f t="shared" si="2"/>
        <v/>
      </c>
      <c r="M60" s="29" t="str">
        <f t="shared" si="18"/>
        <v/>
      </c>
      <c r="N60" s="29" t="str">
        <f t="shared" si="22"/>
        <v/>
      </c>
      <c r="O60" s="29" t="str">
        <f t="shared" si="3"/>
        <v/>
      </c>
      <c r="P60" s="29" t="str">
        <f t="shared" si="4"/>
        <v/>
      </c>
      <c r="Q60" s="23" t="str">
        <f t="shared" si="23"/>
        <v/>
      </c>
      <c r="R60" s="5" t="str">
        <f t="shared" si="28"/>
        <v/>
      </c>
      <c r="S60" s="5" t="str">
        <f t="shared" si="20"/>
        <v/>
      </c>
      <c r="T60" s="5" t="str">
        <f t="shared" si="21"/>
        <v/>
      </c>
      <c r="U60" s="4" t="str">
        <f t="shared" si="24"/>
        <v xml:space="preserve"> </v>
      </c>
      <c r="V60" s="6" t="str">
        <f t="shared" si="25"/>
        <v xml:space="preserve"> </v>
      </c>
      <c r="W60" s="22" t="str">
        <f t="shared" si="26"/>
        <v/>
      </c>
      <c r="X60" s="22" t="str">
        <f t="shared" si="27"/>
        <v/>
      </c>
      <c r="Y60" s="22"/>
      <c r="AC60" s="2"/>
      <c r="AD60" s="2"/>
      <c r="AJ60" s="34"/>
      <c r="AK60" s="34"/>
      <c r="AL60" s="34"/>
    </row>
    <row r="61" spans="5:38" x14ac:dyDescent="0.25">
      <c r="E61" s="25" t="str">
        <f t="shared" si="13"/>
        <v xml:space="preserve"> </v>
      </c>
      <c r="F61" s="26" t="str">
        <f t="shared" si="14"/>
        <v xml:space="preserve"> </v>
      </c>
      <c r="G61" s="27" t="str">
        <f t="shared" si="15"/>
        <v xml:space="preserve"> </v>
      </c>
      <c r="H61" s="28" t="str">
        <f t="shared" si="0"/>
        <v xml:space="preserve"> </v>
      </c>
      <c r="I61" s="3" t="str">
        <f t="shared" si="16"/>
        <v xml:space="preserve"> </v>
      </c>
      <c r="J61" s="3" t="str">
        <f t="shared" si="1"/>
        <v xml:space="preserve"> </v>
      </c>
      <c r="K61" s="3" t="str">
        <f t="shared" si="17"/>
        <v/>
      </c>
      <c r="L61" s="30" t="str">
        <f t="shared" si="2"/>
        <v/>
      </c>
      <c r="M61" s="29" t="str">
        <f t="shared" si="18"/>
        <v/>
      </c>
      <c r="N61" s="29" t="str">
        <f t="shared" si="22"/>
        <v/>
      </c>
      <c r="O61" s="29" t="str">
        <f t="shared" si="3"/>
        <v/>
      </c>
      <c r="P61" s="29" t="str">
        <f t="shared" si="4"/>
        <v/>
      </c>
      <c r="Q61" s="23" t="str">
        <f t="shared" si="23"/>
        <v/>
      </c>
      <c r="R61" s="5" t="str">
        <f t="shared" si="28"/>
        <v/>
      </c>
      <c r="S61" s="5" t="str">
        <f t="shared" si="20"/>
        <v/>
      </c>
      <c r="T61" s="5" t="str">
        <f t="shared" si="21"/>
        <v/>
      </c>
      <c r="U61" s="4" t="str">
        <f t="shared" si="24"/>
        <v xml:space="preserve"> </v>
      </c>
      <c r="V61" s="6" t="str">
        <f t="shared" si="25"/>
        <v xml:space="preserve"> </v>
      </c>
      <c r="W61" s="22" t="str">
        <f t="shared" si="26"/>
        <v/>
      </c>
      <c r="X61" s="22" t="str">
        <f t="shared" si="27"/>
        <v/>
      </c>
      <c r="Y61" s="22"/>
      <c r="AC61" s="2"/>
      <c r="AD61" s="2"/>
      <c r="AJ61" s="34"/>
      <c r="AK61" s="34"/>
      <c r="AL61" s="34"/>
    </row>
    <row r="62" spans="5:38" x14ac:dyDescent="0.25">
      <c r="E62" s="25" t="str">
        <f t="shared" si="13"/>
        <v xml:space="preserve"> </v>
      </c>
      <c r="F62" s="26" t="str">
        <f t="shared" si="14"/>
        <v xml:space="preserve"> </v>
      </c>
      <c r="G62" s="27" t="str">
        <f t="shared" si="15"/>
        <v xml:space="preserve"> </v>
      </c>
      <c r="H62" s="28" t="str">
        <f t="shared" si="0"/>
        <v xml:space="preserve"> </v>
      </c>
      <c r="I62" s="3" t="str">
        <f t="shared" si="16"/>
        <v xml:space="preserve"> </v>
      </c>
      <c r="J62" s="3" t="str">
        <f t="shared" si="1"/>
        <v xml:space="preserve"> </v>
      </c>
      <c r="K62" s="3" t="str">
        <f t="shared" si="17"/>
        <v/>
      </c>
      <c r="L62" s="30" t="str">
        <f t="shared" si="2"/>
        <v/>
      </c>
      <c r="M62" s="29" t="str">
        <f t="shared" si="18"/>
        <v/>
      </c>
      <c r="N62" s="29" t="str">
        <f t="shared" si="22"/>
        <v/>
      </c>
      <c r="O62" s="29" t="str">
        <f t="shared" si="3"/>
        <v/>
      </c>
      <c r="P62" s="29" t="str">
        <f t="shared" si="4"/>
        <v/>
      </c>
      <c r="Q62" s="23" t="str">
        <f t="shared" si="23"/>
        <v/>
      </c>
      <c r="R62" s="5" t="str">
        <f t="shared" si="28"/>
        <v/>
      </c>
      <c r="S62" s="5" t="str">
        <f t="shared" si="20"/>
        <v/>
      </c>
      <c r="T62" s="5" t="str">
        <f t="shared" si="21"/>
        <v/>
      </c>
      <c r="U62" s="4" t="str">
        <f t="shared" si="24"/>
        <v xml:space="preserve"> </v>
      </c>
      <c r="V62" s="6" t="str">
        <f t="shared" si="25"/>
        <v xml:space="preserve"> </v>
      </c>
      <c r="W62" s="22" t="str">
        <f t="shared" si="26"/>
        <v/>
      </c>
      <c r="X62" s="22" t="str">
        <f t="shared" si="27"/>
        <v/>
      </c>
      <c r="Y62" s="22"/>
      <c r="AC62" s="2"/>
      <c r="AD62" s="2"/>
      <c r="AJ62" s="34"/>
      <c r="AK62" s="34"/>
      <c r="AL62" s="34"/>
    </row>
    <row r="63" spans="5:38" x14ac:dyDescent="0.25">
      <c r="E63" s="25" t="str">
        <f t="shared" si="13"/>
        <v xml:space="preserve"> </v>
      </c>
      <c r="F63" s="26" t="str">
        <f t="shared" si="14"/>
        <v xml:space="preserve"> </v>
      </c>
      <c r="G63" s="27" t="str">
        <f t="shared" si="15"/>
        <v xml:space="preserve"> </v>
      </c>
      <c r="H63" s="28" t="str">
        <f t="shared" si="0"/>
        <v xml:space="preserve"> </v>
      </c>
      <c r="I63" s="3" t="str">
        <f t="shared" si="16"/>
        <v xml:space="preserve"> </v>
      </c>
      <c r="J63" s="3" t="str">
        <f t="shared" si="1"/>
        <v xml:space="preserve"> </v>
      </c>
      <c r="K63" s="3" t="str">
        <f t="shared" si="17"/>
        <v/>
      </c>
      <c r="L63" s="30" t="str">
        <f t="shared" si="2"/>
        <v/>
      </c>
      <c r="M63" s="29" t="str">
        <f t="shared" si="18"/>
        <v/>
      </c>
      <c r="N63" s="29" t="str">
        <f t="shared" si="22"/>
        <v/>
      </c>
      <c r="O63" s="29" t="str">
        <f t="shared" si="3"/>
        <v/>
      </c>
      <c r="P63" s="29" t="str">
        <f t="shared" si="4"/>
        <v/>
      </c>
      <c r="Q63" s="23" t="str">
        <f t="shared" si="23"/>
        <v/>
      </c>
      <c r="R63" s="5" t="str">
        <f t="shared" si="28"/>
        <v/>
      </c>
      <c r="S63" s="5" t="str">
        <f t="shared" si="20"/>
        <v/>
      </c>
      <c r="T63" s="5" t="str">
        <f t="shared" si="21"/>
        <v/>
      </c>
      <c r="U63" s="4" t="str">
        <f t="shared" si="24"/>
        <v xml:space="preserve"> </v>
      </c>
      <c r="V63" s="6" t="str">
        <f t="shared" si="25"/>
        <v xml:space="preserve"> </v>
      </c>
      <c r="W63" s="22" t="str">
        <f t="shared" si="26"/>
        <v/>
      </c>
      <c r="X63" s="22" t="str">
        <f t="shared" si="27"/>
        <v/>
      </c>
      <c r="Y63" s="22"/>
      <c r="AC63" s="2"/>
      <c r="AD63" s="2"/>
      <c r="AJ63" s="34"/>
      <c r="AK63" s="34"/>
      <c r="AL63" s="34"/>
    </row>
    <row r="64" spans="5:38" x14ac:dyDescent="0.25">
      <c r="E64" s="25" t="str">
        <f t="shared" si="13"/>
        <v xml:space="preserve"> </v>
      </c>
      <c r="F64" s="26" t="str">
        <f t="shared" si="14"/>
        <v xml:space="preserve"> </v>
      </c>
      <c r="G64" s="27" t="str">
        <f t="shared" si="15"/>
        <v xml:space="preserve"> </v>
      </c>
      <c r="H64" s="28" t="str">
        <f t="shared" si="0"/>
        <v xml:space="preserve"> </v>
      </c>
      <c r="I64" s="3" t="str">
        <f t="shared" si="16"/>
        <v xml:space="preserve"> </v>
      </c>
      <c r="J64" s="3" t="str">
        <f t="shared" si="1"/>
        <v xml:space="preserve"> </v>
      </c>
      <c r="K64" s="3" t="str">
        <f t="shared" si="17"/>
        <v/>
      </c>
      <c r="L64" s="30" t="str">
        <f t="shared" ref="L64:L69" si="29">IFERROR(ROUND(IF($C$18=" "," ",$C$13/K64),2),"")</f>
        <v/>
      </c>
      <c r="M64" s="29" t="str">
        <f t="shared" si="18"/>
        <v/>
      </c>
      <c r="N64" s="29" t="str">
        <f t="shared" si="22"/>
        <v/>
      </c>
      <c r="O64" s="29" t="str">
        <f t="shared" si="3"/>
        <v/>
      </c>
      <c r="P64" s="29" t="str">
        <f t="shared" si="4"/>
        <v/>
      </c>
      <c r="Q64" s="23" t="str">
        <f t="shared" si="23"/>
        <v/>
      </c>
      <c r="R64" s="5" t="str">
        <f t="shared" si="28"/>
        <v/>
      </c>
      <c r="S64" s="5" t="str">
        <f t="shared" si="20"/>
        <v/>
      </c>
      <c r="T64" s="5" t="str">
        <f t="shared" si="21"/>
        <v/>
      </c>
      <c r="U64" s="4" t="str">
        <f t="shared" si="24"/>
        <v xml:space="preserve"> </v>
      </c>
      <c r="V64" s="6" t="str">
        <f t="shared" si="25"/>
        <v xml:space="preserve"> </v>
      </c>
      <c r="W64" s="22" t="str">
        <f t="shared" si="26"/>
        <v/>
      </c>
      <c r="X64" s="22" t="str">
        <f t="shared" si="27"/>
        <v/>
      </c>
      <c r="Y64" s="22"/>
    </row>
    <row r="65" spans="5:25" x14ac:dyDescent="0.25">
      <c r="E65" s="25" t="str">
        <f t="shared" si="13"/>
        <v xml:space="preserve"> </v>
      </c>
      <c r="F65" s="26" t="str">
        <f t="shared" si="14"/>
        <v xml:space="preserve"> </v>
      </c>
      <c r="G65" s="27" t="str">
        <f t="shared" si="15"/>
        <v xml:space="preserve"> </v>
      </c>
      <c r="H65" s="28" t="str">
        <f t="shared" si="0"/>
        <v xml:space="preserve"> </v>
      </c>
      <c r="I65" s="3" t="str">
        <f t="shared" si="16"/>
        <v xml:space="preserve"> </v>
      </c>
      <c r="J65" s="3" t="str">
        <f t="shared" si="1"/>
        <v xml:space="preserve"> </v>
      </c>
      <c r="K65" s="3" t="str">
        <f t="shared" si="17"/>
        <v/>
      </c>
      <c r="L65" s="30" t="str">
        <f t="shared" si="29"/>
        <v/>
      </c>
      <c r="M65" s="29" t="str">
        <f t="shared" si="18"/>
        <v/>
      </c>
      <c r="N65" s="29" t="str">
        <f t="shared" si="22"/>
        <v/>
      </c>
      <c r="O65" s="29" t="str">
        <f t="shared" si="3"/>
        <v/>
      </c>
      <c r="P65" s="29" t="str">
        <f t="shared" si="4"/>
        <v/>
      </c>
      <c r="Q65" s="23" t="str">
        <f t="shared" si="23"/>
        <v/>
      </c>
      <c r="R65" s="5" t="str">
        <f t="shared" si="28"/>
        <v/>
      </c>
      <c r="S65" s="5" t="str">
        <f t="shared" si="20"/>
        <v/>
      </c>
      <c r="T65" s="5" t="str">
        <f t="shared" si="21"/>
        <v/>
      </c>
      <c r="U65" s="4" t="str">
        <f t="shared" si="24"/>
        <v xml:space="preserve"> </v>
      </c>
      <c r="V65" s="6" t="str">
        <f t="shared" si="25"/>
        <v xml:space="preserve"> </v>
      </c>
      <c r="W65" s="22" t="str">
        <f t="shared" si="26"/>
        <v/>
      </c>
      <c r="X65" s="22" t="str">
        <f t="shared" si="27"/>
        <v/>
      </c>
      <c r="Y65" s="22"/>
    </row>
    <row r="66" spans="5:25" x14ac:dyDescent="0.25">
      <c r="E66" s="25" t="str">
        <f t="shared" si="13"/>
        <v xml:space="preserve"> </v>
      </c>
      <c r="F66" s="26" t="str">
        <f t="shared" si="14"/>
        <v xml:space="preserve"> </v>
      </c>
      <c r="G66" s="27" t="str">
        <f t="shared" si="15"/>
        <v xml:space="preserve"> </v>
      </c>
      <c r="H66" s="28" t="str">
        <f t="shared" si="0"/>
        <v xml:space="preserve"> </v>
      </c>
      <c r="I66" s="3" t="str">
        <f t="shared" si="16"/>
        <v xml:space="preserve"> </v>
      </c>
      <c r="J66" s="3" t="str">
        <f t="shared" si="1"/>
        <v xml:space="preserve"> </v>
      </c>
      <c r="K66" s="3" t="str">
        <f t="shared" si="17"/>
        <v/>
      </c>
      <c r="L66" s="30" t="str">
        <f t="shared" si="29"/>
        <v/>
      </c>
      <c r="M66" s="29" t="str">
        <f t="shared" si="18"/>
        <v/>
      </c>
      <c r="N66" s="29" t="str">
        <f t="shared" si="22"/>
        <v/>
      </c>
      <c r="O66" s="29" t="str">
        <f t="shared" si="3"/>
        <v/>
      </c>
      <c r="P66" s="29" t="str">
        <f t="shared" si="4"/>
        <v/>
      </c>
      <c r="Q66" s="23" t="str">
        <f t="shared" si="23"/>
        <v/>
      </c>
      <c r="R66" s="5" t="str">
        <f t="shared" si="28"/>
        <v/>
      </c>
      <c r="S66" s="5" t="str">
        <f t="shared" si="20"/>
        <v/>
      </c>
      <c r="T66" s="5" t="str">
        <f t="shared" si="21"/>
        <v/>
      </c>
      <c r="U66" s="4" t="str">
        <f t="shared" si="24"/>
        <v xml:space="preserve"> </v>
      </c>
      <c r="V66" s="6" t="str">
        <f t="shared" si="25"/>
        <v xml:space="preserve"> </v>
      </c>
      <c r="W66" s="22" t="str">
        <f t="shared" si="26"/>
        <v/>
      </c>
      <c r="X66" s="22" t="str">
        <f t="shared" si="27"/>
        <v/>
      </c>
      <c r="Y66" s="22"/>
    </row>
    <row r="67" spans="5:25" x14ac:dyDescent="0.25">
      <c r="E67" s="25" t="str">
        <f t="shared" si="13"/>
        <v xml:space="preserve"> </v>
      </c>
      <c r="F67" s="26" t="str">
        <f t="shared" si="14"/>
        <v xml:space="preserve"> </v>
      </c>
      <c r="G67" s="27" t="str">
        <f t="shared" si="15"/>
        <v xml:space="preserve"> </v>
      </c>
      <c r="H67" s="28" t="str">
        <f t="shared" si="0"/>
        <v xml:space="preserve"> </v>
      </c>
      <c r="I67" s="3" t="str">
        <f t="shared" si="16"/>
        <v xml:space="preserve"> </v>
      </c>
      <c r="J67" s="3" t="str">
        <f t="shared" si="1"/>
        <v xml:space="preserve"> </v>
      </c>
      <c r="K67" s="3" t="str">
        <f t="shared" si="17"/>
        <v/>
      </c>
      <c r="L67" s="30" t="str">
        <f t="shared" si="29"/>
        <v/>
      </c>
      <c r="M67" s="29" t="str">
        <f t="shared" si="18"/>
        <v/>
      </c>
      <c r="N67" s="29" t="str">
        <f t="shared" si="22"/>
        <v/>
      </c>
      <c r="O67" s="29" t="str">
        <f t="shared" si="3"/>
        <v/>
      </c>
      <c r="P67" s="29" t="str">
        <f t="shared" si="4"/>
        <v/>
      </c>
      <c r="Q67" s="23" t="str">
        <f t="shared" si="23"/>
        <v/>
      </c>
      <c r="R67" s="5" t="str">
        <f t="shared" si="28"/>
        <v/>
      </c>
      <c r="S67" s="5" t="str">
        <f t="shared" si="20"/>
        <v/>
      </c>
      <c r="T67" s="5" t="str">
        <f t="shared" si="21"/>
        <v/>
      </c>
      <c r="U67" s="4" t="str">
        <f t="shared" si="24"/>
        <v xml:space="preserve"> </v>
      </c>
      <c r="V67" s="6" t="str">
        <f t="shared" si="25"/>
        <v xml:space="preserve"> </v>
      </c>
      <c r="W67" s="22" t="str">
        <f t="shared" si="26"/>
        <v/>
      </c>
      <c r="X67" s="22" t="str">
        <f t="shared" si="27"/>
        <v/>
      </c>
      <c r="Y67" s="22"/>
    </row>
    <row r="68" spans="5:25" x14ac:dyDescent="0.25">
      <c r="E68" s="25" t="str">
        <f t="shared" si="13"/>
        <v xml:space="preserve"> </v>
      </c>
      <c r="F68" s="26" t="str">
        <f t="shared" si="14"/>
        <v xml:space="preserve"> </v>
      </c>
      <c r="G68" s="27" t="str">
        <f t="shared" si="15"/>
        <v xml:space="preserve"> </v>
      </c>
      <c r="H68" s="28" t="str">
        <f t="shared" ref="H68:H69" si="30">IFERROR(IF(E68=" "," ",IF($E68&lt;=$C$16,$G68*$C$14/IF(DAY(DATE(MID(F68,7,4),3,0))=29,366,365),$G68*$C$15/IF(DAY(DATE(MID(F68,7,4),3,0))=29,366,365))),"")</f>
        <v xml:space="preserve"> </v>
      </c>
      <c r="I68" s="3" t="str">
        <f t="shared" si="16"/>
        <v xml:space="preserve"> </v>
      </c>
      <c r="J68" s="3" t="str">
        <f t="shared" ref="J68:J69" si="31">IFERROR(IF($C$18=" "," ",1/(1+I68))," ")</f>
        <v xml:space="preserve"> </v>
      </c>
      <c r="K68" s="3" t="str">
        <f t="shared" si="17"/>
        <v/>
      </c>
      <c r="L68" s="30" t="str">
        <f t="shared" si="29"/>
        <v/>
      </c>
      <c r="M68" s="29" t="str">
        <f t="shared" si="18"/>
        <v/>
      </c>
      <c r="N68" s="29" t="str">
        <f t="shared" si="22"/>
        <v/>
      </c>
      <c r="O68" s="29" t="str">
        <f t="shared" ref="O68:O69" si="32">IFERROR(IF($C$17=E68,M68,TRUNC($C$19-N68,2)),"")</f>
        <v/>
      </c>
      <c r="P68" s="29" t="str">
        <f t="shared" ref="P68:P69" si="33">IF(TRUNC(SUM(N68:O68),2)&lt;=0,"",TRUNC(SUM(N68:O68),2))</f>
        <v/>
      </c>
      <c r="Q68" s="23" t="str">
        <f t="shared" si="23"/>
        <v/>
      </c>
      <c r="R68" s="5" t="str">
        <f t="shared" si="28"/>
        <v/>
      </c>
      <c r="S68" s="5" t="str">
        <f t="shared" si="20"/>
        <v/>
      </c>
      <c r="T68" s="5" t="str">
        <f t="shared" si="21"/>
        <v/>
      </c>
      <c r="U68" s="4" t="str">
        <f t="shared" si="24"/>
        <v xml:space="preserve"> </v>
      </c>
      <c r="V68" s="6" t="str">
        <f t="shared" si="25"/>
        <v xml:space="preserve"> </v>
      </c>
      <c r="W68" s="22" t="str">
        <f t="shared" si="26"/>
        <v/>
      </c>
      <c r="X68" s="22" t="str">
        <f t="shared" si="27"/>
        <v/>
      </c>
      <c r="Y68" s="22"/>
    </row>
    <row r="69" spans="5:25" x14ac:dyDescent="0.25">
      <c r="E69" s="25" t="str">
        <f t="shared" ref="E69" si="34">IFERROR(IF($E68&lt;$C$17,E68+1," "),"")</f>
        <v xml:space="preserve"> </v>
      </c>
      <c r="F69" s="26" t="str">
        <f t="shared" ref="F69" si="35">IFERROR(TEXT(IF($E69&lt;=$C$17,EDATE($F$4,E69 - 1)," "),"DD/MM/YYYY"),"")</f>
        <v xml:space="preserve"> </v>
      </c>
      <c r="G69" s="27" t="str">
        <f t="shared" ref="G69" si="36">IFERROR(IF(E69=" "," ",F69-F68),"")</f>
        <v xml:space="preserve"> </v>
      </c>
      <c r="H69" s="28" t="str">
        <f t="shared" si="30"/>
        <v xml:space="preserve"> </v>
      </c>
      <c r="I69" s="3" t="str">
        <f t="shared" ref="I69" si="37">IFERROR(IF(E69=" "," ",ROUND(I68+H69+(I68*H69),6)),"")</f>
        <v xml:space="preserve"> </v>
      </c>
      <c r="J69" s="3" t="str">
        <f t="shared" si="31"/>
        <v xml:space="preserve"> </v>
      </c>
      <c r="K69" s="3" t="str">
        <f t="shared" ref="K69" si="38">IFERROR(IF($C$18=" "," ",K68+J69),"")</f>
        <v/>
      </c>
      <c r="L69" s="30" t="str">
        <f t="shared" si="29"/>
        <v/>
      </c>
      <c r="M69" s="29" t="str">
        <f t="shared" ref="M69" si="39">IFERROR(IF(IF($M68&gt;0,($M68-$O68)," ")&lt;=0,"",IF($M68&gt;0,($M68-$O68)," ")),"")</f>
        <v/>
      </c>
      <c r="N69" s="29" t="str">
        <f t="shared" si="22"/>
        <v/>
      </c>
      <c r="O69" s="29" t="str">
        <f t="shared" si="32"/>
        <v/>
      </c>
      <c r="P69" s="29" t="str">
        <f t="shared" si="33"/>
        <v/>
      </c>
      <c r="Q69" s="23" t="str">
        <f t="shared" si="23"/>
        <v/>
      </c>
      <c r="R69" s="5" t="str">
        <f t="shared" ref="R69:R100" si="40">TEXT(IF(AND(Q68="N",Q69="Y"),EDATE($F$4,E69-2),IF(AND(Q68="Y",Q69="N"),EDATE($F$4,E69-2),"")),"DD/MM/YYYY")</f>
        <v/>
      </c>
      <c r="S69" s="5" t="str">
        <f t="shared" ref="S69" si="41">TEXT(IFERROR(DATE(YEAR(R69),12,31),""),"DD/MM/YYYY")</f>
        <v/>
      </c>
      <c r="T69" s="5" t="str">
        <f t="shared" ref="T69" si="42">TEXT(IFERROR(EDATE($R69,1),""),"DD/MM/YYYY")</f>
        <v/>
      </c>
      <c r="U69" s="4" t="str">
        <f t="shared" si="24"/>
        <v xml:space="preserve"> </v>
      </c>
      <c r="V69" s="6" t="str">
        <f t="shared" si="25"/>
        <v xml:space="preserve"> </v>
      </c>
      <c r="W69" s="22" t="str">
        <f t="shared" si="26"/>
        <v/>
      </c>
      <c r="X69" s="22" t="str">
        <f t="shared" si="27"/>
        <v/>
      </c>
      <c r="Y69" s="22"/>
    </row>
  </sheetData>
  <sheetProtection algorithmName="SHA-512" hashValue="ONtUjwEfIypdaB0roC3P/Mrutyv0D/4pNWagBsVBK72Mmk8l2fsUsgF5Q2AHATaBWN2QAPLJ9cW25XZKy4iTzQ==" saltValue="RSOXfKvYNAxKEocTA0hH9A==" spinCount="100000" sheet="1" objects="1" scenarios="1"/>
  <mergeCells count="5">
    <mergeCell ref="E2:P2"/>
    <mergeCell ref="Z3:AH3"/>
    <mergeCell ref="AJ3:AL3"/>
    <mergeCell ref="B5:C5"/>
    <mergeCell ref="B9:C9"/>
  </mergeCells>
  <conditionalFormatting sqref="Q4">
    <cfRule type="cellIs" dxfId="19" priority="5" operator="equal">
      <formula>"Y"</formula>
    </cfRule>
  </conditionalFormatting>
  <conditionalFormatting sqref="Q5:Q69 M5:P5 M10:M69 O10:P69 M6:M8 O6:P8 M4:Q4 N6:N69">
    <cfRule type="cellIs" dxfId="18" priority="4" operator="equal">
      <formula>"Y"</formula>
    </cfRule>
  </conditionalFormatting>
  <conditionalFormatting sqref="M9 O9:P9">
    <cfRule type="cellIs" dxfId="17" priority="3" operator="equal">
      <formula>"Y"</formula>
    </cfRule>
  </conditionalFormatting>
  <conditionalFormatting sqref="AJ4:AL63">
    <cfRule type="cellIs" dxfId="16" priority="1" operator="greaterThan">
      <formula>0</formula>
    </cfRule>
    <cfRule type="cellIs" dxfId="15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L69"/>
  <sheetViews>
    <sheetView showGridLines="0" zoomScale="85" zoomScaleNormal="85" workbookViewId="0">
      <selection activeCell="AB12" sqref="AB12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8" style="22" hidden="1" customWidth="1"/>
    <col min="18" max="18" width="11.7109375" style="1" hidden="1" customWidth="1"/>
    <col min="19" max="19" width="16.140625" style="1" hidden="1" customWidth="1"/>
    <col min="20" max="20" width="11.28515625" style="1" hidden="1" customWidth="1"/>
    <col min="21" max="21" width="8.7109375" style="1" hidden="1" customWidth="1"/>
    <col min="22" max="22" width="12.28515625" style="1" hidden="1" customWidth="1"/>
    <col min="23" max="24" width="6.140625" style="1" hidden="1" customWidth="1"/>
    <col min="25" max="25" width="2.5703125" style="1" customWidth="1"/>
    <col min="26" max="26" width="3.140625" style="1" bestFit="1" customWidth="1"/>
    <col min="27" max="27" width="2.140625" style="1" bestFit="1" customWidth="1"/>
    <col min="28" max="28" width="11" style="1" bestFit="1" customWidth="1"/>
    <col min="29" max="30" width="10.85546875" style="1" bestFit="1" customWidth="1"/>
    <col min="31" max="33" width="9" style="36" bestFit="1" customWidth="1"/>
    <col min="34" max="34" width="8" style="36" bestFit="1" customWidth="1"/>
    <col min="35" max="35" width="2.7109375" style="1" customWidth="1"/>
    <col min="36" max="36" width="11.85546875" style="1" bestFit="1" customWidth="1"/>
    <col min="37" max="16384" width="11.42578125" style="1"/>
  </cols>
  <sheetData>
    <row r="1" spans="2:38" x14ac:dyDescent="0.25">
      <c r="F1" s="1"/>
      <c r="G1" s="1"/>
      <c r="Q1" s="1"/>
    </row>
    <row r="2" spans="2:38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24"/>
      <c r="R2" s="24"/>
      <c r="S2" s="24"/>
      <c r="T2" s="24"/>
      <c r="U2" s="24"/>
      <c r="V2" s="24"/>
      <c r="W2" s="24"/>
      <c r="X2" s="24"/>
      <c r="Y2" s="35"/>
    </row>
    <row r="3" spans="2:38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1" t="s">
        <v>22</v>
      </c>
      <c r="Q3" s="19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1" t="s">
        <v>30</v>
      </c>
      <c r="Y3" s="22"/>
      <c r="Z3" s="40" t="s">
        <v>40</v>
      </c>
      <c r="AA3" s="41"/>
      <c r="AB3" s="41"/>
      <c r="AC3" s="41"/>
      <c r="AD3" s="41"/>
      <c r="AE3" s="41"/>
      <c r="AF3" s="41"/>
      <c r="AG3" s="41"/>
      <c r="AH3" s="42"/>
      <c r="AJ3" s="40" t="s">
        <v>39</v>
      </c>
      <c r="AK3" s="41"/>
      <c r="AL3" s="42"/>
    </row>
    <row r="4" spans="2:38" x14ac:dyDescent="0.25">
      <c r="E4" s="25">
        <f>IFERROR(IF($C$18&gt;0,1," "),"")</f>
        <v>1</v>
      </c>
      <c r="F4" s="26" t="str">
        <f>IFERROR(IF(C18&gt;0,TEXT(IF($E$4&gt;0,C18," "),"DD/MM/YYYY")," "),"")</f>
        <v>13/11/2019</v>
      </c>
      <c r="G4" s="27" t="str">
        <f>IFERROR(IF(E4=" "," ",F4-$C$11),"")</f>
        <v/>
      </c>
      <c r="H4" s="28" t="str">
        <f t="shared" ref="H4:H67" si="0">IFERROR(IF(E4=" "," ",IF($E4&lt;=$C$16,$G4*$C$14/IF(DAY(DATE(MID(F4,7,4),3,0))=29,366,365),$G4*$C$15/IF(DAY(DATE(MID(F4,7,4),3,0))=29,366,365))),"")</f>
        <v/>
      </c>
      <c r="I4" s="3" t="str">
        <f>IFERROR(IF(E4=" "," ",J1+H4+(J1*H4)),"")</f>
        <v/>
      </c>
      <c r="J4" s="3" t="str">
        <f t="shared" ref="J4:J67" si="1">IFERROR(IF($C$18=" "," ",1/(1+I4))," ")</f>
        <v xml:space="preserve"> </v>
      </c>
      <c r="K4" s="3" t="str">
        <f>IFERROR(IF($C$18=" "," ",L1+J4),"")</f>
        <v/>
      </c>
      <c r="L4" s="30" t="str">
        <f t="shared" ref="L4:L63" si="2">IFERROR(TRUNC(IF($C$18=" "," ",$C$13/K4),2),"")</f>
        <v/>
      </c>
      <c r="M4" s="29">
        <f>IFERROR(IF(C13&gt;0,C13," "),"")</f>
        <v>3500</v>
      </c>
      <c r="N4" s="29" t="str">
        <f>IFERROR(IF(AND(Q2="N",Q4="Y"),SUM(W4:X4),IF(AND(Q2="Y",Q4="N"),SUM(W4:X4),TRUNC((M4+(0*(-1)))*(H4)+(0*(-1)),2))),"")</f>
        <v/>
      </c>
      <c r="O4" s="29" t="str">
        <f t="shared" ref="O4:O67" si="3">IFERROR(IF($C$17=E4,M4,TRUNC($C$19-N4,2)),"")</f>
        <v/>
      </c>
      <c r="P4" s="29" t="str">
        <f t="shared" ref="P4:P67" si="4">IF(TRUNC(SUM(N4:O4),2)&lt;=0,"",TRUNC(SUM(N4:O4),2))</f>
        <v/>
      </c>
      <c r="Q4" s="23" t="str">
        <f t="shared" ref="Q4:Q35" si="5">IFERROR(IF(IF(DAY(DATE(MID(F4,7,4),3,0))=29,366,365)=366,"Y","N"),"")</f>
        <v>N</v>
      </c>
      <c r="R4" s="5" t="str">
        <f>TEXT(IF(AND(Q2="N",Q4="Y"),EDATE($F$4,E4-2),IF(AND(Q2="Y",Q4="N"),EDATE($F$4,E4-2),"")),"DD/MM/YYYY")</f>
        <v/>
      </c>
      <c r="S4" s="5" t="str">
        <f>TEXT(IFERROR(DATE(YEAR(R4),12,31),""),"DD/MM/YYYY")</f>
        <v/>
      </c>
      <c r="T4" s="5" t="str">
        <f>TEXT(IFERROR(EDATE($R4,1),""),"DD/MM/YYYY")</f>
        <v/>
      </c>
      <c r="U4" s="4" t="str">
        <f t="shared" ref="U4:U35" si="6">IFERROR(IF(E4=" "," ",IF($E4&lt;=$C$16,SUM(S4-R4)*$C$14/IF(DAY(DATE(MID(S4,7,4),3,0))=29,366,365),SUM(S4-R4)*$C$15/IF(DAY(DATE(MID(S4,7,4),3,0))=29,366,365))),"")</f>
        <v/>
      </c>
      <c r="V4" s="6" t="str">
        <f t="shared" ref="V4:V35" si="7">IFERROR(IF(E4=" "," ",IF($E4&lt;=$C$16,SUM(T4-S4)*$C$14/IF(DAY(DATE(MID(T4,7,4),3,0))=29,366,365),SUM(T4-S4)*$C$15/IF(DAY(DATE(MID(T4,7,4),3,0))=29,366,365))),"")</f>
        <v/>
      </c>
      <c r="W4" s="22" t="str">
        <f t="shared" ref="W4:W35" si="8">IFERROR(TRUNC(U4*M4,2),"")</f>
        <v/>
      </c>
      <c r="X4" s="22" t="str">
        <f t="shared" ref="X4:X35" si="9">IFERROR(TRUNC(V4*M4,2),"")</f>
        <v/>
      </c>
      <c r="Y4" s="22"/>
      <c r="Z4" s="1">
        <v>1</v>
      </c>
      <c r="AA4" s="1">
        <v>1</v>
      </c>
      <c r="AB4" s="1" t="s">
        <v>37</v>
      </c>
      <c r="AC4" s="2">
        <v>43782</v>
      </c>
      <c r="AD4" s="2">
        <v>43781</v>
      </c>
      <c r="AE4" s="36">
        <v>148.51</v>
      </c>
      <c r="AF4" s="36">
        <v>145.44999999999999</v>
      </c>
      <c r="AG4" s="36">
        <v>3.06</v>
      </c>
      <c r="AJ4" s="34" t="e">
        <f t="shared" ref="AJ4:AJ39" si="10">AE4-P4</f>
        <v>#VALUE!</v>
      </c>
      <c r="AK4" s="34" t="e">
        <f t="shared" ref="AK4:AK39" si="11">AF4-O4</f>
        <v>#VALUE!</v>
      </c>
      <c r="AL4" s="34" t="e">
        <f t="shared" ref="AL4:AL39" si="12">N4-AG4</f>
        <v>#VALUE!</v>
      </c>
    </row>
    <row r="5" spans="2:38" x14ac:dyDescent="0.25">
      <c r="B5" s="37" t="s">
        <v>0</v>
      </c>
      <c r="C5" s="38"/>
      <c r="E5" s="25">
        <f t="shared" ref="E5:E68" si="13">IFERROR(IF($E4&lt;$C$17,E4+1," "),"")</f>
        <v>2</v>
      </c>
      <c r="F5" s="26" t="str">
        <f t="shared" ref="F5:F68" si="14">IFERROR(TEXT(IF($E5&lt;=$C$17,EDATE($F$4,E5 - 1)," "),"DD/MM/YYYY"),"")</f>
        <v/>
      </c>
      <c r="G5" s="27" t="str">
        <f t="shared" ref="G5:G68" si="15">IFERROR(IF(E5=" "," ",F5-F4),"")</f>
        <v/>
      </c>
      <c r="H5" s="28" t="str">
        <f t="shared" si="0"/>
        <v/>
      </c>
      <c r="I5" s="3" t="str">
        <f t="shared" ref="I5:I68" si="16">IFERROR(IF(E5=" "," ",ROUND(I4+H5+(I4*H5),6)),"")</f>
        <v/>
      </c>
      <c r="J5" s="3" t="str">
        <f t="shared" si="1"/>
        <v xml:space="preserve"> </v>
      </c>
      <c r="K5" s="3" t="str">
        <f t="shared" ref="K5:K68" si="17">IFERROR(IF($C$18=" "," ",K4+J5),"")</f>
        <v/>
      </c>
      <c r="L5" s="30" t="str">
        <f t="shared" si="2"/>
        <v/>
      </c>
      <c r="M5" s="29" t="str">
        <f t="shared" ref="M5:M68" si="18">IFERROR(IF(IF($M4&gt;0,($M4-$O4)," ")&lt;=0,"",IF($M4&gt;0,($M4-$O4)," ")),"")</f>
        <v/>
      </c>
      <c r="N5" s="29" t="str">
        <f>IFERROR(IF(AND(Q4="N",Q5="Y"),SUM(W5:X5),IF(AND(Q4="Y",Q5="N"),SUM(W5:X5),ROUND((M5+(0*(-1)))*(H5)+(0*(-1)),2))),"")</f>
        <v/>
      </c>
      <c r="O5" s="29" t="str">
        <f t="shared" si="3"/>
        <v/>
      </c>
      <c r="P5" s="29" t="str">
        <f t="shared" si="4"/>
        <v/>
      </c>
      <c r="Q5" s="23" t="str">
        <f t="shared" si="5"/>
        <v/>
      </c>
      <c r="R5" s="5" t="str">
        <f t="shared" ref="R5:R36" si="19">TEXT(IF(AND(Q4="N",Q5="Y"),EDATE($F$4,E5-2),IF(AND(Q4="Y",Q5="N"),EDATE($F$4,E5-2),"")),"DD/MM/YYYY")</f>
        <v/>
      </c>
      <c r="S5" s="5" t="str">
        <f t="shared" ref="S5:S68" si="20">TEXT(IFERROR(DATE(YEAR(R5),12,31),""),"DD/MM/YYYY")</f>
        <v/>
      </c>
      <c r="T5" s="5" t="str">
        <f t="shared" ref="T5:T68" si="21">TEXT(IFERROR(EDATE($R5,1),""),"DD/MM/YYYY")</f>
        <v/>
      </c>
      <c r="U5" s="4" t="str">
        <f t="shared" si="6"/>
        <v/>
      </c>
      <c r="V5" s="6" t="str">
        <f t="shared" si="7"/>
        <v/>
      </c>
      <c r="W5" s="22" t="str">
        <f t="shared" si="8"/>
        <v/>
      </c>
      <c r="X5" s="22" t="str">
        <f t="shared" si="9"/>
        <v/>
      </c>
      <c r="Y5" s="22"/>
      <c r="Z5" s="1">
        <v>2</v>
      </c>
      <c r="AA5" s="1">
        <v>1</v>
      </c>
      <c r="AB5" s="1" t="s">
        <v>38</v>
      </c>
      <c r="AC5" s="2">
        <v>43812</v>
      </c>
      <c r="AD5" s="2">
        <v>43781</v>
      </c>
      <c r="AE5" s="36">
        <v>148.51</v>
      </c>
      <c r="AF5" s="36">
        <v>60.34</v>
      </c>
      <c r="AG5" s="36">
        <v>88.17</v>
      </c>
      <c r="AJ5" s="34" t="e">
        <f t="shared" si="10"/>
        <v>#VALUE!</v>
      </c>
      <c r="AK5" s="34" t="e">
        <f t="shared" si="11"/>
        <v>#VALUE!</v>
      </c>
      <c r="AL5" s="34" t="e">
        <f t="shared" si="12"/>
        <v>#VALUE!</v>
      </c>
    </row>
    <row r="6" spans="2:38" x14ac:dyDescent="0.25">
      <c r="E6" s="25">
        <f t="shared" si="13"/>
        <v>3</v>
      </c>
      <c r="F6" s="26" t="str">
        <f t="shared" si="14"/>
        <v/>
      </c>
      <c r="G6" s="27" t="str">
        <f t="shared" si="15"/>
        <v/>
      </c>
      <c r="H6" s="28" t="str">
        <f t="shared" si="0"/>
        <v/>
      </c>
      <c r="I6" s="3" t="str">
        <f t="shared" si="16"/>
        <v/>
      </c>
      <c r="J6" s="3" t="str">
        <f t="shared" si="1"/>
        <v xml:space="preserve"> </v>
      </c>
      <c r="K6" s="3" t="str">
        <f t="shared" si="17"/>
        <v/>
      </c>
      <c r="L6" s="30" t="str">
        <f t="shared" si="2"/>
        <v/>
      </c>
      <c r="M6" s="29" t="str">
        <f t="shared" si="18"/>
        <v/>
      </c>
      <c r="N6" s="29" t="str">
        <f>IFERROR(IF(AND(Q5="N",Q6="Y"),SUM(W6:X6),IF(AND(Q5="Y",Q6="N"),SUM(W6:X6),ROUND((M6+(0*(-1)))*(H6)+(0*(-1)),2))),"")</f>
        <v/>
      </c>
      <c r="O6" s="29" t="str">
        <f t="shared" si="3"/>
        <v/>
      </c>
      <c r="P6" s="29" t="str">
        <f t="shared" si="4"/>
        <v/>
      </c>
      <c r="Q6" s="23" t="str">
        <f t="shared" si="5"/>
        <v/>
      </c>
      <c r="R6" s="5" t="str">
        <f t="shared" si="19"/>
        <v/>
      </c>
      <c r="S6" s="5" t="str">
        <f t="shared" si="20"/>
        <v/>
      </c>
      <c r="T6" s="5" t="str">
        <f t="shared" si="21"/>
        <v/>
      </c>
      <c r="U6" s="4" t="str">
        <f t="shared" si="6"/>
        <v/>
      </c>
      <c r="V6" s="6" t="str">
        <f t="shared" si="7"/>
        <v/>
      </c>
      <c r="W6" s="22" t="str">
        <f t="shared" si="8"/>
        <v/>
      </c>
      <c r="X6" s="22" t="str">
        <f t="shared" si="9"/>
        <v/>
      </c>
      <c r="Y6" s="22"/>
      <c r="Z6" s="1">
        <v>3</v>
      </c>
      <c r="AA6" s="1">
        <v>1</v>
      </c>
      <c r="AB6" s="1" t="s">
        <v>38</v>
      </c>
      <c r="AC6" s="2">
        <v>43843</v>
      </c>
      <c r="AD6" s="2">
        <v>43781</v>
      </c>
      <c r="AE6" s="36">
        <v>148.51</v>
      </c>
      <c r="AF6" s="36">
        <v>59.14</v>
      </c>
      <c r="AG6" s="36">
        <v>89.37</v>
      </c>
      <c r="AJ6" s="34" t="e">
        <f t="shared" si="10"/>
        <v>#VALUE!</v>
      </c>
      <c r="AK6" s="34" t="e">
        <f t="shared" si="11"/>
        <v>#VALUE!</v>
      </c>
      <c r="AL6" s="34" t="e">
        <f t="shared" si="12"/>
        <v>#VALUE!</v>
      </c>
    </row>
    <row r="7" spans="2:38" x14ac:dyDescent="0.25">
      <c r="B7" s="18" t="s">
        <v>16</v>
      </c>
      <c r="C7" s="17" t="s">
        <v>46</v>
      </c>
      <c r="E7" s="25">
        <f t="shared" si="13"/>
        <v>4</v>
      </c>
      <c r="F7" s="26" t="str">
        <f t="shared" si="14"/>
        <v/>
      </c>
      <c r="G7" s="27" t="str">
        <f t="shared" si="15"/>
        <v/>
      </c>
      <c r="H7" s="28" t="str">
        <f t="shared" si="0"/>
        <v/>
      </c>
      <c r="I7" s="3" t="str">
        <f t="shared" si="16"/>
        <v/>
      </c>
      <c r="J7" s="3" t="str">
        <f t="shared" si="1"/>
        <v xml:space="preserve"> </v>
      </c>
      <c r="K7" s="3" t="str">
        <f t="shared" si="17"/>
        <v/>
      </c>
      <c r="L7" s="30" t="str">
        <f t="shared" si="2"/>
        <v/>
      </c>
      <c r="M7" s="29" t="str">
        <f t="shared" si="18"/>
        <v/>
      </c>
      <c r="N7" s="29" t="str">
        <f t="shared" ref="N7:N69" si="22">IFERROR(IF(AND(Q6="N",Q7="Y"),SUM(W7:X7),IF(AND(Q6="Y",Q7="N"),SUM(W7:X7),TRUNC((M7+(0*(-1)))*(H7)+(0*(-1)),2))),"")</f>
        <v/>
      </c>
      <c r="O7" s="29" t="str">
        <f t="shared" si="3"/>
        <v/>
      </c>
      <c r="P7" s="29" t="str">
        <f t="shared" si="4"/>
        <v/>
      </c>
      <c r="Q7" s="23" t="str">
        <f t="shared" si="5"/>
        <v/>
      </c>
      <c r="R7" s="5" t="str">
        <f t="shared" si="19"/>
        <v/>
      </c>
      <c r="S7" s="5" t="str">
        <f t="shared" si="20"/>
        <v/>
      </c>
      <c r="T7" s="5" t="str">
        <f t="shared" si="21"/>
        <v/>
      </c>
      <c r="U7" s="4" t="str">
        <f t="shared" si="6"/>
        <v/>
      </c>
      <c r="V7" s="6" t="str">
        <f t="shared" si="7"/>
        <v/>
      </c>
      <c r="W7" s="22" t="str">
        <f t="shared" si="8"/>
        <v/>
      </c>
      <c r="X7" s="22" t="str">
        <f t="shared" si="9"/>
        <v/>
      </c>
      <c r="Y7" s="22"/>
      <c r="Z7" s="1">
        <v>4</v>
      </c>
      <c r="AA7" s="1">
        <v>1</v>
      </c>
      <c r="AB7" s="1" t="s">
        <v>38</v>
      </c>
      <c r="AC7" s="2">
        <v>43874</v>
      </c>
      <c r="AD7" s="2">
        <v>43781</v>
      </c>
      <c r="AE7" s="36">
        <v>148.51</v>
      </c>
      <c r="AF7" s="36">
        <v>60.89</v>
      </c>
      <c r="AG7" s="36">
        <v>87.62</v>
      </c>
      <c r="AJ7" s="34" t="e">
        <f t="shared" si="10"/>
        <v>#VALUE!</v>
      </c>
      <c r="AK7" s="34" t="e">
        <f t="shared" si="11"/>
        <v>#VALUE!</v>
      </c>
      <c r="AL7" s="34" t="e">
        <f t="shared" si="12"/>
        <v>#VALUE!</v>
      </c>
    </row>
    <row r="8" spans="2:38" x14ac:dyDescent="0.25">
      <c r="E8" s="25">
        <f t="shared" si="13"/>
        <v>5</v>
      </c>
      <c r="F8" s="26" t="str">
        <f t="shared" si="14"/>
        <v/>
      </c>
      <c r="G8" s="27" t="str">
        <f t="shared" si="15"/>
        <v/>
      </c>
      <c r="H8" s="28" t="str">
        <f t="shared" si="0"/>
        <v/>
      </c>
      <c r="I8" s="3" t="str">
        <f t="shared" si="16"/>
        <v/>
      </c>
      <c r="J8" s="3" t="str">
        <f t="shared" si="1"/>
        <v xml:space="preserve"> </v>
      </c>
      <c r="K8" s="3" t="str">
        <f t="shared" si="17"/>
        <v/>
      </c>
      <c r="L8" s="30" t="str">
        <f t="shared" si="2"/>
        <v/>
      </c>
      <c r="M8" s="29" t="str">
        <f t="shared" si="18"/>
        <v/>
      </c>
      <c r="N8" s="29" t="str">
        <f t="shared" si="22"/>
        <v/>
      </c>
      <c r="O8" s="29" t="str">
        <f t="shared" si="3"/>
        <v/>
      </c>
      <c r="P8" s="29" t="str">
        <f t="shared" si="4"/>
        <v/>
      </c>
      <c r="Q8" s="23" t="str">
        <f t="shared" si="5"/>
        <v/>
      </c>
      <c r="R8" s="5" t="str">
        <f t="shared" si="19"/>
        <v/>
      </c>
      <c r="S8" s="5" t="str">
        <f t="shared" si="20"/>
        <v/>
      </c>
      <c r="T8" s="5" t="str">
        <f t="shared" si="21"/>
        <v/>
      </c>
      <c r="U8" s="4" t="str">
        <f t="shared" si="6"/>
        <v/>
      </c>
      <c r="V8" s="6" t="str">
        <f t="shared" si="7"/>
        <v/>
      </c>
      <c r="W8" s="22" t="str">
        <f t="shared" si="8"/>
        <v/>
      </c>
      <c r="X8" s="22" t="str">
        <f t="shared" si="9"/>
        <v/>
      </c>
      <c r="Y8" s="22"/>
      <c r="Z8" s="1">
        <v>5</v>
      </c>
      <c r="AA8" s="1">
        <v>1</v>
      </c>
      <c r="AB8" s="1" t="s">
        <v>38</v>
      </c>
      <c r="AC8" s="2">
        <v>43903</v>
      </c>
      <c r="AD8" s="2">
        <v>43781</v>
      </c>
      <c r="AE8" s="36">
        <v>148.51</v>
      </c>
      <c r="AF8" s="36">
        <v>68.08</v>
      </c>
      <c r="AG8" s="36">
        <v>80.430000000000007</v>
      </c>
      <c r="AJ8" s="34" t="e">
        <f t="shared" si="10"/>
        <v>#VALUE!</v>
      </c>
      <c r="AK8" s="34" t="e">
        <f t="shared" si="11"/>
        <v>#VALUE!</v>
      </c>
      <c r="AL8" s="34" t="e">
        <f t="shared" si="12"/>
        <v>#VALUE!</v>
      </c>
    </row>
    <row r="9" spans="2:38" x14ac:dyDescent="0.25">
      <c r="B9" s="37" t="s">
        <v>15</v>
      </c>
      <c r="C9" s="38"/>
      <c r="E9" s="25">
        <f t="shared" si="13"/>
        <v>6</v>
      </c>
      <c r="F9" s="26" t="str">
        <f t="shared" si="14"/>
        <v/>
      </c>
      <c r="G9" s="27" t="str">
        <f t="shared" si="15"/>
        <v/>
      </c>
      <c r="H9" s="28" t="str">
        <f t="shared" si="0"/>
        <v/>
      </c>
      <c r="I9" s="3" t="str">
        <f t="shared" si="16"/>
        <v/>
      </c>
      <c r="J9" s="3" t="str">
        <f t="shared" si="1"/>
        <v xml:space="preserve"> </v>
      </c>
      <c r="K9" s="3" t="str">
        <f t="shared" si="17"/>
        <v/>
      </c>
      <c r="L9" s="30" t="str">
        <f t="shared" si="2"/>
        <v/>
      </c>
      <c r="M9" s="29" t="str">
        <f t="shared" si="18"/>
        <v/>
      </c>
      <c r="N9" s="29" t="str">
        <f t="shared" si="22"/>
        <v/>
      </c>
      <c r="O9" s="29" t="str">
        <f t="shared" si="3"/>
        <v/>
      </c>
      <c r="P9" s="29" t="str">
        <f t="shared" si="4"/>
        <v/>
      </c>
      <c r="Q9" s="23" t="str">
        <f t="shared" si="5"/>
        <v/>
      </c>
      <c r="R9" s="5" t="str">
        <f t="shared" si="19"/>
        <v/>
      </c>
      <c r="S9" s="5" t="str">
        <f t="shared" si="20"/>
        <v/>
      </c>
      <c r="T9" s="5" t="str">
        <f t="shared" si="21"/>
        <v/>
      </c>
      <c r="U9" s="4" t="str">
        <f t="shared" si="6"/>
        <v/>
      </c>
      <c r="V9" s="6" t="str">
        <f t="shared" si="7"/>
        <v/>
      </c>
      <c r="W9" s="22" t="str">
        <f t="shared" si="8"/>
        <v/>
      </c>
      <c r="X9" s="22" t="str">
        <f t="shared" si="9"/>
        <v/>
      </c>
      <c r="Y9" s="22"/>
      <c r="Z9" s="1">
        <v>6</v>
      </c>
      <c r="AA9" s="1">
        <v>1</v>
      </c>
      <c r="AB9" s="1" t="s">
        <v>38</v>
      </c>
      <c r="AC9" s="2">
        <v>43934</v>
      </c>
      <c r="AD9" s="2">
        <v>43781</v>
      </c>
      <c r="AE9" s="36">
        <v>148.51</v>
      </c>
      <c r="AF9" s="36">
        <v>64.38</v>
      </c>
      <c r="AG9" s="36">
        <v>84.13</v>
      </c>
      <c r="AJ9" s="34" t="e">
        <f t="shared" si="10"/>
        <v>#VALUE!</v>
      </c>
      <c r="AK9" s="34" t="e">
        <f t="shared" si="11"/>
        <v>#VALUE!</v>
      </c>
      <c r="AL9" s="34" t="e">
        <f t="shared" si="12"/>
        <v>#VALUE!</v>
      </c>
    </row>
    <row r="10" spans="2:38" x14ac:dyDescent="0.25">
      <c r="E10" s="25">
        <f t="shared" si="13"/>
        <v>7</v>
      </c>
      <c r="F10" s="26" t="str">
        <f t="shared" si="14"/>
        <v/>
      </c>
      <c r="G10" s="27" t="str">
        <f t="shared" si="15"/>
        <v/>
      </c>
      <c r="H10" s="28" t="str">
        <f t="shared" si="0"/>
        <v/>
      </c>
      <c r="I10" s="3" t="str">
        <f t="shared" si="16"/>
        <v/>
      </c>
      <c r="J10" s="3" t="str">
        <f t="shared" si="1"/>
        <v xml:space="preserve"> </v>
      </c>
      <c r="K10" s="3" t="str">
        <f t="shared" si="17"/>
        <v/>
      </c>
      <c r="L10" s="30" t="str">
        <f t="shared" si="2"/>
        <v/>
      </c>
      <c r="M10" s="29" t="str">
        <f t="shared" si="18"/>
        <v/>
      </c>
      <c r="N10" s="29" t="str">
        <f t="shared" si="22"/>
        <v/>
      </c>
      <c r="O10" s="29" t="str">
        <f t="shared" si="3"/>
        <v/>
      </c>
      <c r="P10" s="29" t="str">
        <f t="shared" si="4"/>
        <v/>
      </c>
      <c r="Q10" s="23" t="str">
        <f t="shared" si="5"/>
        <v/>
      </c>
      <c r="R10" s="5" t="str">
        <f t="shared" si="19"/>
        <v/>
      </c>
      <c r="S10" s="5" t="str">
        <f t="shared" si="20"/>
        <v/>
      </c>
      <c r="T10" s="5" t="str">
        <f t="shared" si="21"/>
        <v/>
      </c>
      <c r="U10" s="4" t="str">
        <f t="shared" si="6"/>
        <v/>
      </c>
      <c r="V10" s="6" t="str">
        <f t="shared" si="7"/>
        <v/>
      </c>
      <c r="W10" s="22" t="str">
        <f t="shared" si="8"/>
        <v/>
      </c>
      <c r="X10" s="22" t="str">
        <f t="shared" si="9"/>
        <v/>
      </c>
      <c r="Y10" s="22"/>
      <c r="Z10" s="1">
        <v>7</v>
      </c>
      <c r="AA10" s="1">
        <v>1</v>
      </c>
      <c r="AB10" s="1" t="s">
        <v>38</v>
      </c>
      <c r="AC10" s="2">
        <v>43964</v>
      </c>
      <c r="AD10" s="2">
        <v>43781</v>
      </c>
      <c r="AE10" s="36">
        <v>148.51</v>
      </c>
      <c r="AF10" s="36">
        <v>68.78</v>
      </c>
      <c r="AG10" s="36">
        <v>79.73</v>
      </c>
      <c r="AJ10" s="34" t="e">
        <f t="shared" si="10"/>
        <v>#VALUE!</v>
      </c>
      <c r="AK10" s="34" t="e">
        <f t="shared" si="11"/>
        <v>#VALUE!</v>
      </c>
      <c r="AL10" s="34" t="e">
        <f t="shared" si="12"/>
        <v>#VALUE!</v>
      </c>
    </row>
    <row r="11" spans="2:38" x14ac:dyDescent="0.25">
      <c r="B11" s="16" t="s">
        <v>14</v>
      </c>
      <c r="C11" s="15">
        <v>43781</v>
      </c>
      <c r="E11" s="25">
        <f t="shared" si="13"/>
        <v>8</v>
      </c>
      <c r="F11" s="26" t="str">
        <f t="shared" si="14"/>
        <v/>
      </c>
      <c r="G11" s="27" t="str">
        <f t="shared" si="15"/>
        <v/>
      </c>
      <c r="H11" s="28" t="str">
        <f t="shared" si="0"/>
        <v/>
      </c>
      <c r="I11" s="3" t="str">
        <f t="shared" si="16"/>
        <v/>
      </c>
      <c r="J11" s="3" t="str">
        <f t="shared" si="1"/>
        <v xml:space="preserve"> </v>
      </c>
      <c r="K11" s="3" t="str">
        <f t="shared" si="17"/>
        <v/>
      </c>
      <c r="L11" s="30" t="str">
        <f t="shared" si="2"/>
        <v/>
      </c>
      <c r="M11" s="29" t="str">
        <f t="shared" si="18"/>
        <v/>
      </c>
      <c r="N11" s="29" t="str">
        <f t="shared" si="22"/>
        <v/>
      </c>
      <c r="O11" s="29" t="str">
        <f t="shared" si="3"/>
        <v/>
      </c>
      <c r="P11" s="29" t="str">
        <f t="shared" si="4"/>
        <v/>
      </c>
      <c r="Q11" s="23" t="str">
        <f t="shared" si="5"/>
        <v/>
      </c>
      <c r="R11" s="5" t="str">
        <f t="shared" si="19"/>
        <v/>
      </c>
      <c r="S11" s="5" t="str">
        <f t="shared" si="20"/>
        <v/>
      </c>
      <c r="T11" s="5" t="str">
        <f t="shared" si="21"/>
        <v/>
      </c>
      <c r="U11" s="4" t="str">
        <f t="shared" si="6"/>
        <v/>
      </c>
      <c r="V11" s="6" t="str">
        <f t="shared" si="7"/>
        <v/>
      </c>
      <c r="W11" s="22" t="str">
        <f t="shared" si="8"/>
        <v/>
      </c>
      <c r="X11" s="22" t="str">
        <f t="shared" si="9"/>
        <v/>
      </c>
      <c r="Y11" s="22"/>
      <c r="Z11" s="1">
        <v>8</v>
      </c>
      <c r="AA11" s="1">
        <v>1</v>
      </c>
      <c r="AB11" s="1" t="s">
        <v>38</v>
      </c>
      <c r="AC11" s="2">
        <v>43995</v>
      </c>
      <c r="AD11" s="2">
        <v>43781</v>
      </c>
      <c r="AE11" s="36">
        <v>148.51</v>
      </c>
      <c r="AF11" s="36">
        <v>67.989999999999995</v>
      </c>
      <c r="AG11" s="36">
        <v>80.52</v>
      </c>
      <c r="AJ11" s="34" t="e">
        <f t="shared" si="10"/>
        <v>#VALUE!</v>
      </c>
      <c r="AK11" s="34" t="e">
        <f t="shared" si="11"/>
        <v>#VALUE!</v>
      </c>
      <c r="AL11" s="34" t="e">
        <f t="shared" si="12"/>
        <v>#VALUE!</v>
      </c>
    </row>
    <row r="12" spans="2:38" x14ac:dyDescent="0.25">
      <c r="B12" s="11" t="s">
        <v>33</v>
      </c>
      <c r="C12" s="32" t="s">
        <v>47</v>
      </c>
      <c r="E12" s="25">
        <f t="shared" si="13"/>
        <v>9</v>
      </c>
      <c r="F12" s="26" t="str">
        <f t="shared" si="14"/>
        <v/>
      </c>
      <c r="G12" s="27" t="str">
        <f t="shared" si="15"/>
        <v/>
      </c>
      <c r="H12" s="28" t="str">
        <f t="shared" si="0"/>
        <v/>
      </c>
      <c r="I12" s="3" t="str">
        <f t="shared" si="16"/>
        <v/>
      </c>
      <c r="J12" s="3" t="str">
        <f t="shared" si="1"/>
        <v xml:space="preserve"> </v>
      </c>
      <c r="K12" s="3" t="str">
        <f t="shared" si="17"/>
        <v/>
      </c>
      <c r="L12" s="30" t="str">
        <f t="shared" si="2"/>
        <v/>
      </c>
      <c r="M12" s="29" t="str">
        <f t="shared" si="18"/>
        <v/>
      </c>
      <c r="N12" s="29" t="str">
        <f t="shared" si="22"/>
        <v/>
      </c>
      <c r="O12" s="29" t="str">
        <f t="shared" si="3"/>
        <v/>
      </c>
      <c r="P12" s="29" t="str">
        <f t="shared" si="4"/>
        <v/>
      </c>
      <c r="Q12" s="23" t="str">
        <f t="shared" si="5"/>
        <v/>
      </c>
      <c r="R12" s="5" t="str">
        <f t="shared" si="19"/>
        <v/>
      </c>
      <c r="S12" s="5" t="str">
        <f t="shared" si="20"/>
        <v/>
      </c>
      <c r="T12" s="5" t="str">
        <f t="shared" si="21"/>
        <v/>
      </c>
      <c r="U12" s="4" t="str">
        <f t="shared" si="6"/>
        <v/>
      </c>
      <c r="V12" s="6" t="str">
        <f t="shared" si="7"/>
        <v/>
      </c>
      <c r="W12" s="22" t="str">
        <f t="shared" si="8"/>
        <v/>
      </c>
      <c r="X12" s="22" t="str">
        <f t="shared" si="9"/>
        <v/>
      </c>
      <c r="Y12" s="22"/>
      <c r="Z12" s="1">
        <v>9</v>
      </c>
      <c r="AA12" s="1">
        <v>1</v>
      </c>
      <c r="AB12" s="1" t="s">
        <v>38</v>
      </c>
      <c r="AC12" s="2">
        <v>44025</v>
      </c>
      <c r="AD12" s="2">
        <v>43781</v>
      </c>
      <c r="AE12" s="36">
        <v>148.51</v>
      </c>
      <c r="AF12" s="36">
        <v>72.37</v>
      </c>
      <c r="AG12" s="36">
        <v>76.14</v>
      </c>
      <c r="AJ12" s="34" t="e">
        <f t="shared" si="10"/>
        <v>#VALUE!</v>
      </c>
      <c r="AK12" s="34" t="e">
        <f t="shared" si="11"/>
        <v>#VALUE!</v>
      </c>
      <c r="AL12" s="34" t="e">
        <f t="shared" si="12"/>
        <v>#VALUE!</v>
      </c>
    </row>
    <row r="13" spans="2:38" x14ac:dyDescent="0.25">
      <c r="B13" s="11" t="s">
        <v>13</v>
      </c>
      <c r="C13" s="14">
        <v>3500</v>
      </c>
      <c r="E13" s="25">
        <f t="shared" si="13"/>
        <v>10</v>
      </c>
      <c r="F13" s="26" t="str">
        <f t="shared" si="14"/>
        <v/>
      </c>
      <c r="G13" s="27" t="str">
        <f t="shared" si="15"/>
        <v/>
      </c>
      <c r="H13" s="28" t="str">
        <f t="shared" si="0"/>
        <v/>
      </c>
      <c r="I13" s="3" t="str">
        <f t="shared" si="16"/>
        <v/>
      </c>
      <c r="J13" s="3" t="str">
        <f t="shared" si="1"/>
        <v xml:space="preserve"> </v>
      </c>
      <c r="K13" s="3" t="str">
        <f t="shared" si="17"/>
        <v/>
      </c>
      <c r="L13" s="30" t="str">
        <f t="shared" si="2"/>
        <v/>
      </c>
      <c r="M13" s="29" t="str">
        <f t="shared" si="18"/>
        <v/>
      </c>
      <c r="N13" s="29" t="str">
        <f t="shared" si="22"/>
        <v/>
      </c>
      <c r="O13" s="29" t="str">
        <f t="shared" si="3"/>
        <v/>
      </c>
      <c r="P13" s="29" t="str">
        <f t="shared" si="4"/>
        <v/>
      </c>
      <c r="Q13" s="23" t="str">
        <f t="shared" si="5"/>
        <v/>
      </c>
      <c r="R13" s="5" t="str">
        <f t="shared" si="19"/>
        <v/>
      </c>
      <c r="S13" s="5" t="str">
        <f t="shared" si="20"/>
        <v/>
      </c>
      <c r="T13" s="5" t="str">
        <f t="shared" si="21"/>
        <v/>
      </c>
      <c r="U13" s="4" t="str">
        <f t="shared" si="6"/>
        <v/>
      </c>
      <c r="V13" s="6" t="str">
        <f t="shared" si="7"/>
        <v/>
      </c>
      <c r="W13" s="22" t="str">
        <f t="shared" si="8"/>
        <v/>
      </c>
      <c r="X13" s="22" t="str">
        <f t="shared" si="9"/>
        <v/>
      </c>
      <c r="Y13" s="22"/>
      <c r="Z13" s="1">
        <v>10</v>
      </c>
      <c r="AA13" s="1">
        <v>1</v>
      </c>
      <c r="AB13" s="1" t="s">
        <v>38</v>
      </c>
      <c r="AC13" s="2">
        <v>44056</v>
      </c>
      <c r="AD13" s="2">
        <v>43781</v>
      </c>
      <c r="AE13" s="36">
        <v>148.51</v>
      </c>
      <c r="AF13" s="36">
        <v>71.790000000000006</v>
      </c>
      <c r="AG13" s="36">
        <v>76.72</v>
      </c>
      <c r="AJ13" s="34" t="e">
        <f t="shared" si="10"/>
        <v>#VALUE!</v>
      </c>
      <c r="AK13" s="34" t="e">
        <f t="shared" si="11"/>
        <v>#VALUE!</v>
      </c>
      <c r="AL13" s="34" t="e">
        <f t="shared" si="12"/>
        <v>#VALUE!</v>
      </c>
    </row>
    <row r="14" spans="2:38" x14ac:dyDescent="0.25">
      <c r="B14" s="11" t="s">
        <v>12</v>
      </c>
      <c r="C14" s="13">
        <f>2.665%*12</f>
        <v>0.31979999999999997</v>
      </c>
      <c r="E14" s="25">
        <f t="shared" si="13"/>
        <v>11</v>
      </c>
      <c r="F14" s="26" t="str">
        <f t="shared" si="14"/>
        <v/>
      </c>
      <c r="G14" s="27" t="str">
        <f t="shared" si="15"/>
        <v/>
      </c>
      <c r="H14" s="28" t="str">
        <f t="shared" si="0"/>
        <v/>
      </c>
      <c r="I14" s="3" t="str">
        <f t="shared" si="16"/>
        <v/>
      </c>
      <c r="J14" s="3" t="str">
        <f t="shared" si="1"/>
        <v xml:space="preserve"> </v>
      </c>
      <c r="K14" s="3" t="str">
        <f t="shared" si="17"/>
        <v/>
      </c>
      <c r="L14" s="30" t="str">
        <f t="shared" si="2"/>
        <v/>
      </c>
      <c r="M14" s="29" t="str">
        <f t="shared" si="18"/>
        <v/>
      </c>
      <c r="N14" s="29" t="str">
        <f t="shared" si="22"/>
        <v/>
      </c>
      <c r="O14" s="29" t="str">
        <f t="shared" si="3"/>
        <v/>
      </c>
      <c r="P14" s="29" t="str">
        <f t="shared" si="4"/>
        <v/>
      </c>
      <c r="Q14" s="23" t="str">
        <f t="shared" si="5"/>
        <v/>
      </c>
      <c r="R14" s="5" t="str">
        <f t="shared" si="19"/>
        <v/>
      </c>
      <c r="S14" s="5" t="str">
        <f t="shared" si="20"/>
        <v/>
      </c>
      <c r="T14" s="5" t="str">
        <f t="shared" si="21"/>
        <v/>
      </c>
      <c r="U14" s="4" t="str">
        <f t="shared" si="6"/>
        <v/>
      </c>
      <c r="V14" s="6" t="str">
        <f t="shared" si="7"/>
        <v/>
      </c>
      <c r="W14" s="22" t="str">
        <f t="shared" si="8"/>
        <v/>
      </c>
      <c r="X14" s="22" t="str">
        <f t="shared" si="9"/>
        <v/>
      </c>
      <c r="Y14" s="22"/>
      <c r="Z14" s="1">
        <v>11</v>
      </c>
      <c r="AA14" s="1">
        <v>1</v>
      </c>
      <c r="AB14" s="1" t="s">
        <v>38</v>
      </c>
      <c r="AC14" s="2">
        <v>44087</v>
      </c>
      <c r="AD14" s="2">
        <v>43781</v>
      </c>
      <c r="AE14" s="36">
        <v>148.51</v>
      </c>
      <c r="AF14" s="36">
        <v>73.73</v>
      </c>
      <c r="AG14" s="36">
        <v>74.78</v>
      </c>
      <c r="AJ14" s="34" t="e">
        <f t="shared" si="10"/>
        <v>#VALUE!</v>
      </c>
      <c r="AK14" s="34" t="e">
        <f t="shared" si="11"/>
        <v>#VALUE!</v>
      </c>
      <c r="AL14" s="34" t="e">
        <f t="shared" si="12"/>
        <v>#VALUE!</v>
      </c>
    </row>
    <row r="15" spans="2:38" x14ac:dyDescent="0.25">
      <c r="B15" s="11" t="s">
        <v>11</v>
      </c>
      <c r="C15" s="13">
        <f>2.665%*12</f>
        <v>0.31979999999999997</v>
      </c>
      <c r="E15" s="25">
        <f t="shared" si="13"/>
        <v>12</v>
      </c>
      <c r="F15" s="26" t="str">
        <f t="shared" si="14"/>
        <v/>
      </c>
      <c r="G15" s="27" t="str">
        <f t="shared" si="15"/>
        <v/>
      </c>
      <c r="H15" s="28" t="str">
        <f t="shared" si="0"/>
        <v/>
      </c>
      <c r="I15" s="3" t="str">
        <f t="shared" si="16"/>
        <v/>
      </c>
      <c r="J15" s="3" t="str">
        <f t="shared" si="1"/>
        <v xml:space="preserve"> </v>
      </c>
      <c r="K15" s="3" t="str">
        <f t="shared" si="17"/>
        <v/>
      </c>
      <c r="L15" s="30" t="str">
        <f t="shared" si="2"/>
        <v/>
      </c>
      <c r="M15" s="29" t="str">
        <f t="shared" si="18"/>
        <v/>
      </c>
      <c r="N15" s="29" t="str">
        <f t="shared" si="22"/>
        <v/>
      </c>
      <c r="O15" s="29" t="str">
        <f t="shared" si="3"/>
        <v/>
      </c>
      <c r="P15" s="29" t="str">
        <f t="shared" si="4"/>
        <v/>
      </c>
      <c r="Q15" s="23" t="str">
        <f t="shared" si="5"/>
        <v/>
      </c>
      <c r="R15" s="5" t="str">
        <f t="shared" si="19"/>
        <v/>
      </c>
      <c r="S15" s="5" t="str">
        <f t="shared" si="20"/>
        <v/>
      </c>
      <c r="T15" s="5" t="str">
        <f t="shared" si="21"/>
        <v/>
      </c>
      <c r="U15" s="4" t="str">
        <f t="shared" si="6"/>
        <v/>
      </c>
      <c r="V15" s="6" t="str">
        <f t="shared" si="7"/>
        <v/>
      </c>
      <c r="W15" s="22" t="str">
        <f t="shared" si="8"/>
        <v/>
      </c>
      <c r="X15" s="22" t="str">
        <f t="shared" si="9"/>
        <v/>
      </c>
      <c r="Y15" s="22"/>
      <c r="Z15" s="1">
        <v>12</v>
      </c>
      <c r="AA15" s="1">
        <v>1</v>
      </c>
      <c r="AB15" s="1" t="s">
        <v>38</v>
      </c>
      <c r="AC15" s="2">
        <v>44117</v>
      </c>
      <c r="AD15" s="2">
        <v>43781</v>
      </c>
      <c r="AE15" s="36">
        <v>148.51</v>
      </c>
      <c r="AF15" s="36">
        <v>78.08</v>
      </c>
      <c r="AG15" s="36">
        <v>70.430000000000007</v>
      </c>
      <c r="AJ15" s="34" t="e">
        <f t="shared" si="10"/>
        <v>#VALUE!</v>
      </c>
      <c r="AK15" s="34" t="e">
        <f t="shared" si="11"/>
        <v>#VALUE!</v>
      </c>
      <c r="AL15" s="34" t="e">
        <f t="shared" si="12"/>
        <v>#VALUE!</v>
      </c>
    </row>
    <row r="16" spans="2:38" x14ac:dyDescent="0.25">
      <c r="B16" s="11" t="s">
        <v>10</v>
      </c>
      <c r="C16" s="12">
        <v>36</v>
      </c>
      <c r="E16" s="25">
        <f t="shared" si="13"/>
        <v>13</v>
      </c>
      <c r="F16" s="26" t="str">
        <f t="shared" si="14"/>
        <v/>
      </c>
      <c r="G16" s="27" t="str">
        <f t="shared" si="15"/>
        <v/>
      </c>
      <c r="H16" s="28" t="str">
        <f t="shared" si="0"/>
        <v/>
      </c>
      <c r="I16" s="3" t="str">
        <f t="shared" si="16"/>
        <v/>
      </c>
      <c r="J16" s="3" t="str">
        <f t="shared" si="1"/>
        <v xml:space="preserve"> </v>
      </c>
      <c r="K16" s="3" t="str">
        <f t="shared" si="17"/>
        <v/>
      </c>
      <c r="L16" s="30" t="str">
        <f t="shared" si="2"/>
        <v/>
      </c>
      <c r="M16" s="29" t="str">
        <f t="shared" si="18"/>
        <v/>
      </c>
      <c r="N16" s="29" t="str">
        <f t="shared" si="22"/>
        <v/>
      </c>
      <c r="O16" s="29" t="str">
        <f t="shared" si="3"/>
        <v/>
      </c>
      <c r="P16" s="29" t="str">
        <f t="shared" si="4"/>
        <v/>
      </c>
      <c r="Q16" s="23" t="str">
        <f t="shared" si="5"/>
        <v/>
      </c>
      <c r="R16" s="5" t="str">
        <f t="shared" si="19"/>
        <v/>
      </c>
      <c r="S16" s="5" t="str">
        <f t="shared" si="20"/>
        <v/>
      </c>
      <c r="T16" s="5" t="str">
        <f t="shared" si="21"/>
        <v/>
      </c>
      <c r="U16" s="4" t="str">
        <f t="shared" si="6"/>
        <v/>
      </c>
      <c r="V16" s="6" t="str">
        <f t="shared" si="7"/>
        <v/>
      </c>
      <c r="W16" s="22" t="str">
        <f t="shared" si="8"/>
        <v/>
      </c>
      <c r="X16" s="22" t="str">
        <f t="shared" si="9"/>
        <v/>
      </c>
      <c r="Y16" s="22"/>
      <c r="Z16" s="1">
        <v>13</v>
      </c>
      <c r="AA16" s="1">
        <v>1</v>
      </c>
      <c r="AB16" s="1" t="s">
        <v>38</v>
      </c>
      <c r="AC16" s="2">
        <v>44148</v>
      </c>
      <c r="AD16" s="2">
        <v>43781</v>
      </c>
      <c r="AE16" s="36">
        <v>148.51</v>
      </c>
      <c r="AF16" s="36">
        <v>77.849999999999994</v>
      </c>
      <c r="AG16" s="36">
        <v>70.66</v>
      </c>
      <c r="AJ16" s="34" t="e">
        <f t="shared" si="10"/>
        <v>#VALUE!</v>
      </c>
      <c r="AK16" s="34" t="e">
        <f t="shared" si="11"/>
        <v>#VALUE!</v>
      </c>
      <c r="AL16" s="34" t="e">
        <f t="shared" si="12"/>
        <v>#VALUE!</v>
      </c>
    </row>
    <row r="17" spans="2:38" x14ac:dyDescent="0.25">
      <c r="B17" s="11" t="s">
        <v>9</v>
      </c>
      <c r="C17" s="12">
        <v>36</v>
      </c>
      <c r="E17" s="25">
        <f t="shared" si="13"/>
        <v>14</v>
      </c>
      <c r="F17" s="26" t="str">
        <f t="shared" si="14"/>
        <v/>
      </c>
      <c r="G17" s="27" t="str">
        <f t="shared" si="15"/>
        <v/>
      </c>
      <c r="H17" s="28" t="str">
        <f t="shared" si="0"/>
        <v/>
      </c>
      <c r="I17" s="3" t="str">
        <f t="shared" si="16"/>
        <v/>
      </c>
      <c r="J17" s="3" t="str">
        <f t="shared" si="1"/>
        <v xml:space="preserve"> </v>
      </c>
      <c r="K17" s="3" t="str">
        <f t="shared" si="17"/>
        <v/>
      </c>
      <c r="L17" s="30" t="str">
        <f t="shared" si="2"/>
        <v/>
      </c>
      <c r="M17" s="29" t="str">
        <f t="shared" si="18"/>
        <v/>
      </c>
      <c r="N17" s="29" t="str">
        <f t="shared" si="22"/>
        <v/>
      </c>
      <c r="O17" s="29" t="str">
        <f t="shared" si="3"/>
        <v/>
      </c>
      <c r="P17" s="29" t="str">
        <f t="shared" si="4"/>
        <v/>
      </c>
      <c r="Q17" s="23" t="str">
        <f t="shared" si="5"/>
        <v/>
      </c>
      <c r="R17" s="5" t="str">
        <f t="shared" si="19"/>
        <v/>
      </c>
      <c r="S17" s="5" t="str">
        <f t="shared" si="20"/>
        <v/>
      </c>
      <c r="T17" s="5" t="str">
        <f t="shared" si="21"/>
        <v/>
      </c>
      <c r="U17" s="4" t="str">
        <f t="shared" si="6"/>
        <v/>
      </c>
      <c r="V17" s="6" t="str">
        <f t="shared" si="7"/>
        <v/>
      </c>
      <c r="W17" s="22" t="str">
        <f t="shared" si="8"/>
        <v/>
      </c>
      <c r="X17" s="22" t="str">
        <f t="shared" si="9"/>
        <v/>
      </c>
      <c r="Y17" s="22"/>
      <c r="Z17" s="1">
        <v>14</v>
      </c>
      <c r="AA17" s="1">
        <v>1</v>
      </c>
      <c r="AB17" s="1" t="s">
        <v>38</v>
      </c>
      <c r="AC17" s="2">
        <v>44178</v>
      </c>
      <c r="AD17" s="2">
        <v>43781</v>
      </c>
      <c r="AE17" s="36">
        <v>148.51</v>
      </c>
      <c r="AF17" s="36">
        <v>82.17</v>
      </c>
      <c r="AG17" s="36">
        <v>66.34</v>
      </c>
      <c r="AJ17" s="34" t="e">
        <f t="shared" si="10"/>
        <v>#VALUE!</v>
      </c>
      <c r="AK17" s="34" t="e">
        <f t="shared" si="11"/>
        <v>#VALUE!</v>
      </c>
      <c r="AL17" s="34" t="e">
        <f t="shared" si="12"/>
        <v>#VALUE!</v>
      </c>
    </row>
    <row r="18" spans="2:38" x14ac:dyDescent="0.25">
      <c r="B18" s="11" t="s">
        <v>8</v>
      </c>
      <c r="C18" s="10">
        <v>43782</v>
      </c>
      <c r="E18" s="25">
        <f t="shared" si="13"/>
        <v>15</v>
      </c>
      <c r="F18" s="26" t="str">
        <f t="shared" si="14"/>
        <v/>
      </c>
      <c r="G18" s="27" t="str">
        <f t="shared" si="15"/>
        <v/>
      </c>
      <c r="H18" s="28" t="str">
        <f t="shared" si="0"/>
        <v/>
      </c>
      <c r="I18" s="3" t="str">
        <f t="shared" si="16"/>
        <v/>
      </c>
      <c r="J18" s="3" t="str">
        <f t="shared" si="1"/>
        <v xml:space="preserve"> </v>
      </c>
      <c r="K18" s="3" t="str">
        <f t="shared" si="17"/>
        <v/>
      </c>
      <c r="L18" s="30" t="str">
        <f t="shared" si="2"/>
        <v/>
      </c>
      <c r="M18" s="29" t="str">
        <f t="shared" si="18"/>
        <v/>
      </c>
      <c r="N18" s="29" t="str">
        <f t="shared" si="22"/>
        <v/>
      </c>
      <c r="O18" s="29" t="str">
        <f t="shared" si="3"/>
        <v/>
      </c>
      <c r="P18" s="29" t="str">
        <f t="shared" si="4"/>
        <v/>
      </c>
      <c r="Q18" s="23" t="str">
        <f t="shared" si="5"/>
        <v/>
      </c>
      <c r="R18" s="5" t="str">
        <f t="shared" si="19"/>
        <v/>
      </c>
      <c r="S18" s="5" t="str">
        <f t="shared" si="20"/>
        <v/>
      </c>
      <c r="T18" s="5" t="str">
        <f t="shared" si="21"/>
        <v/>
      </c>
      <c r="U18" s="4" t="str">
        <f t="shared" si="6"/>
        <v/>
      </c>
      <c r="V18" s="6" t="str">
        <f t="shared" si="7"/>
        <v/>
      </c>
      <c r="W18" s="22" t="str">
        <f t="shared" si="8"/>
        <v/>
      </c>
      <c r="X18" s="22" t="str">
        <f t="shared" si="9"/>
        <v/>
      </c>
      <c r="Y18" s="22"/>
      <c r="Z18" s="1">
        <v>15</v>
      </c>
      <c r="AA18" s="1">
        <v>1</v>
      </c>
      <c r="AB18" s="1" t="s">
        <v>38</v>
      </c>
      <c r="AC18" s="2">
        <v>44209</v>
      </c>
      <c r="AD18" s="2">
        <v>43781</v>
      </c>
      <c r="AE18" s="36">
        <v>148.51</v>
      </c>
      <c r="AF18" s="36">
        <v>82.1</v>
      </c>
      <c r="AG18" s="36">
        <v>66.41</v>
      </c>
      <c r="AJ18" s="34" t="e">
        <f t="shared" si="10"/>
        <v>#VALUE!</v>
      </c>
      <c r="AK18" s="34" t="e">
        <f t="shared" si="11"/>
        <v>#VALUE!</v>
      </c>
      <c r="AL18" s="34" t="e">
        <f t="shared" si="12"/>
        <v>#VALUE!</v>
      </c>
    </row>
    <row r="19" spans="2:38" x14ac:dyDescent="0.25">
      <c r="B19" s="9" t="s">
        <v>7</v>
      </c>
      <c r="C19" s="8" t="str">
        <f>IFERROR(TRUNC(VLOOKUP($C$17,$E$4:$L$69,8),2),"")</f>
        <v/>
      </c>
      <c r="E19" s="25">
        <f t="shared" si="13"/>
        <v>16</v>
      </c>
      <c r="F19" s="26" t="str">
        <f t="shared" si="14"/>
        <v/>
      </c>
      <c r="G19" s="27" t="str">
        <f t="shared" si="15"/>
        <v/>
      </c>
      <c r="H19" s="28" t="str">
        <f t="shared" si="0"/>
        <v/>
      </c>
      <c r="I19" s="3" t="str">
        <f t="shared" si="16"/>
        <v/>
      </c>
      <c r="J19" s="3" t="str">
        <f t="shared" si="1"/>
        <v xml:space="preserve"> </v>
      </c>
      <c r="K19" s="3" t="str">
        <f t="shared" si="17"/>
        <v/>
      </c>
      <c r="L19" s="30" t="str">
        <f t="shared" si="2"/>
        <v/>
      </c>
      <c r="M19" s="29" t="str">
        <f t="shared" si="18"/>
        <v/>
      </c>
      <c r="N19" s="29" t="str">
        <f t="shared" si="22"/>
        <v/>
      </c>
      <c r="O19" s="29" t="str">
        <f t="shared" si="3"/>
        <v/>
      </c>
      <c r="P19" s="29" t="str">
        <f t="shared" si="4"/>
        <v/>
      </c>
      <c r="Q19" s="23" t="str">
        <f t="shared" si="5"/>
        <v/>
      </c>
      <c r="R19" s="5" t="str">
        <f t="shared" si="19"/>
        <v/>
      </c>
      <c r="S19" s="5" t="str">
        <f t="shared" si="20"/>
        <v/>
      </c>
      <c r="T19" s="5" t="str">
        <f t="shared" si="21"/>
        <v/>
      </c>
      <c r="U19" s="4" t="str">
        <f t="shared" si="6"/>
        <v/>
      </c>
      <c r="V19" s="6" t="str">
        <f t="shared" si="7"/>
        <v/>
      </c>
      <c r="W19" s="22" t="str">
        <f t="shared" si="8"/>
        <v/>
      </c>
      <c r="X19" s="22" t="str">
        <f t="shared" si="9"/>
        <v/>
      </c>
      <c r="Y19" s="22"/>
      <c r="Z19" s="1">
        <v>16</v>
      </c>
      <c r="AA19" s="1">
        <v>1</v>
      </c>
      <c r="AB19" s="1" t="s">
        <v>38</v>
      </c>
      <c r="AC19" s="2">
        <v>44240</v>
      </c>
      <c r="AD19" s="2">
        <v>43781</v>
      </c>
      <c r="AE19" s="36">
        <v>148.51</v>
      </c>
      <c r="AF19" s="36">
        <v>84.23</v>
      </c>
      <c r="AG19" s="36">
        <v>64.28</v>
      </c>
      <c r="AJ19" s="34" t="e">
        <f t="shared" si="10"/>
        <v>#VALUE!</v>
      </c>
      <c r="AK19" s="34" t="e">
        <f t="shared" si="11"/>
        <v>#VALUE!</v>
      </c>
      <c r="AL19" s="34" t="e">
        <f t="shared" si="12"/>
        <v>#VALUE!</v>
      </c>
    </row>
    <row r="20" spans="2:38" x14ac:dyDescent="0.25">
      <c r="E20" s="25">
        <f t="shared" si="13"/>
        <v>17</v>
      </c>
      <c r="F20" s="26" t="str">
        <f t="shared" si="14"/>
        <v/>
      </c>
      <c r="G20" s="27" t="str">
        <f t="shared" si="15"/>
        <v/>
      </c>
      <c r="H20" s="28" t="str">
        <f t="shared" si="0"/>
        <v/>
      </c>
      <c r="I20" s="3" t="str">
        <f t="shared" si="16"/>
        <v/>
      </c>
      <c r="J20" s="3" t="str">
        <f t="shared" si="1"/>
        <v xml:space="preserve"> </v>
      </c>
      <c r="K20" s="3" t="str">
        <f t="shared" si="17"/>
        <v/>
      </c>
      <c r="L20" s="30" t="str">
        <f t="shared" si="2"/>
        <v/>
      </c>
      <c r="M20" s="29" t="str">
        <f t="shared" si="18"/>
        <v/>
      </c>
      <c r="N20" s="29" t="str">
        <f t="shared" si="22"/>
        <v/>
      </c>
      <c r="O20" s="29" t="str">
        <f t="shared" si="3"/>
        <v/>
      </c>
      <c r="P20" s="29" t="str">
        <f t="shared" si="4"/>
        <v/>
      </c>
      <c r="Q20" s="23" t="str">
        <f t="shared" si="5"/>
        <v/>
      </c>
      <c r="R20" s="5" t="str">
        <f t="shared" si="19"/>
        <v/>
      </c>
      <c r="S20" s="5" t="str">
        <f t="shared" si="20"/>
        <v/>
      </c>
      <c r="T20" s="5" t="str">
        <f t="shared" si="21"/>
        <v/>
      </c>
      <c r="U20" s="4" t="str">
        <f t="shared" si="6"/>
        <v/>
      </c>
      <c r="V20" s="6" t="str">
        <f t="shared" si="7"/>
        <v/>
      </c>
      <c r="W20" s="22" t="str">
        <f t="shared" si="8"/>
        <v/>
      </c>
      <c r="X20" s="22" t="str">
        <f t="shared" si="9"/>
        <v/>
      </c>
      <c r="Y20" s="22"/>
      <c r="Z20" s="1">
        <v>17</v>
      </c>
      <c r="AA20" s="1">
        <v>1</v>
      </c>
      <c r="AB20" s="1" t="s">
        <v>38</v>
      </c>
      <c r="AC20" s="2">
        <v>44268</v>
      </c>
      <c r="AD20" s="2">
        <v>43781</v>
      </c>
      <c r="AE20" s="36">
        <v>148.51</v>
      </c>
      <c r="AF20" s="36">
        <v>92.52</v>
      </c>
      <c r="AG20" s="36">
        <v>55.99</v>
      </c>
      <c r="AJ20" s="34" t="e">
        <f t="shared" si="10"/>
        <v>#VALUE!</v>
      </c>
      <c r="AK20" s="34" t="e">
        <f t="shared" si="11"/>
        <v>#VALUE!</v>
      </c>
      <c r="AL20" s="34" t="e">
        <f t="shared" si="12"/>
        <v>#VALUE!</v>
      </c>
    </row>
    <row r="21" spans="2:38" x14ac:dyDescent="0.25">
      <c r="E21" s="25">
        <f t="shared" si="13"/>
        <v>18</v>
      </c>
      <c r="F21" s="26" t="str">
        <f t="shared" si="14"/>
        <v/>
      </c>
      <c r="G21" s="27" t="str">
        <f t="shared" si="15"/>
        <v/>
      </c>
      <c r="H21" s="28" t="str">
        <f t="shared" si="0"/>
        <v/>
      </c>
      <c r="I21" s="3" t="str">
        <f t="shared" si="16"/>
        <v/>
      </c>
      <c r="J21" s="3" t="str">
        <f t="shared" si="1"/>
        <v xml:space="preserve"> </v>
      </c>
      <c r="K21" s="3" t="str">
        <f t="shared" si="17"/>
        <v/>
      </c>
      <c r="L21" s="30" t="str">
        <f t="shared" si="2"/>
        <v/>
      </c>
      <c r="M21" s="29" t="str">
        <f t="shared" si="18"/>
        <v/>
      </c>
      <c r="N21" s="29" t="str">
        <f t="shared" si="22"/>
        <v/>
      </c>
      <c r="O21" s="29" t="str">
        <f t="shared" si="3"/>
        <v/>
      </c>
      <c r="P21" s="29" t="str">
        <f t="shared" si="4"/>
        <v/>
      </c>
      <c r="Q21" s="23" t="str">
        <f t="shared" si="5"/>
        <v/>
      </c>
      <c r="R21" s="5" t="str">
        <f t="shared" si="19"/>
        <v/>
      </c>
      <c r="S21" s="5" t="str">
        <f t="shared" si="20"/>
        <v/>
      </c>
      <c r="T21" s="5" t="str">
        <f t="shared" si="21"/>
        <v/>
      </c>
      <c r="U21" s="4" t="str">
        <f t="shared" si="6"/>
        <v/>
      </c>
      <c r="V21" s="6" t="str">
        <f t="shared" si="7"/>
        <v/>
      </c>
      <c r="W21" s="22" t="str">
        <f t="shared" si="8"/>
        <v/>
      </c>
      <c r="X21" s="22" t="str">
        <f t="shared" si="9"/>
        <v/>
      </c>
      <c r="Y21" s="22"/>
      <c r="Z21" s="1">
        <v>18</v>
      </c>
      <c r="AA21" s="1">
        <v>1</v>
      </c>
      <c r="AB21" s="1" t="s">
        <v>38</v>
      </c>
      <c r="AC21" s="2">
        <v>44299</v>
      </c>
      <c r="AD21" s="2">
        <v>43781</v>
      </c>
      <c r="AE21" s="36">
        <v>148.51</v>
      </c>
      <c r="AF21" s="36">
        <v>89.03</v>
      </c>
      <c r="AG21" s="36">
        <v>59.48</v>
      </c>
      <c r="AJ21" s="34" t="e">
        <f t="shared" si="10"/>
        <v>#VALUE!</v>
      </c>
      <c r="AK21" s="34" t="e">
        <f t="shared" si="11"/>
        <v>#VALUE!</v>
      </c>
      <c r="AL21" s="34" t="e">
        <f t="shared" si="12"/>
        <v>#VALUE!</v>
      </c>
    </row>
    <row r="22" spans="2:38" x14ac:dyDescent="0.25">
      <c r="E22" s="25">
        <f t="shared" si="13"/>
        <v>19</v>
      </c>
      <c r="F22" s="26" t="str">
        <f t="shared" si="14"/>
        <v/>
      </c>
      <c r="G22" s="27" t="str">
        <f t="shared" si="15"/>
        <v/>
      </c>
      <c r="H22" s="28" t="str">
        <f t="shared" si="0"/>
        <v/>
      </c>
      <c r="I22" s="3" t="str">
        <f t="shared" si="16"/>
        <v/>
      </c>
      <c r="J22" s="3" t="str">
        <f t="shared" si="1"/>
        <v xml:space="preserve"> </v>
      </c>
      <c r="K22" s="3" t="str">
        <f t="shared" si="17"/>
        <v/>
      </c>
      <c r="L22" s="30" t="str">
        <f t="shared" si="2"/>
        <v/>
      </c>
      <c r="M22" s="29" t="str">
        <f t="shared" si="18"/>
        <v/>
      </c>
      <c r="N22" s="29" t="str">
        <f t="shared" si="22"/>
        <v/>
      </c>
      <c r="O22" s="29" t="str">
        <f t="shared" si="3"/>
        <v/>
      </c>
      <c r="P22" s="29" t="str">
        <f t="shared" si="4"/>
        <v/>
      </c>
      <c r="Q22" s="23" t="str">
        <f t="shared" si="5"/>
        <v/>
      </c>
      <c r="R22" s="5" t="str">
        <f t="shared" si="19"/>
        <v/>
      </c>
      <c r="S22" s="5" t="str">
        <f t="shared" si="20"/>
        <v/>
      </c>
      <c r="T22" s="5" t="str">
        <f t="shared" si="21"/>
        <v/>
      </c>
      <c r="U22" s="4" t="str">
        <f t="shared" si="6"/>
        <v/>
      </c>
      <c r="V22" s="6" t="str">
        <f t="shared" si="7"/>
        <v/>
      </c>
      <c r="W22" s="22" t="str">
        <f t="shared" si="8"/>
        <v/>
      </c>
      <c r="X22" s="22" t="str">
        <f t="shared" si="9"/>
        <v/>
      </c>
      <c r="Y22" s="22"/>
      <c r="Z22" s="1">
        <v>19</v>
      </c>
      <c r="AA22" s="1">
        <v>1</v>
      </c>
      <c r="AB22" s="1" t="s">
        <v>38</v>
      </c>
      <c r="AC22" s="2">
        <v>44329</v>
      </c>
      <c r="AD22" s="2">
        <v>43781</v>
      </c>
      <c r="AE22" s="36">
        <v>148.51</v>
      </c>
      <c r="AF22" s="36">
        <v>93.29</v>
      </c>
      <c r="AG22" s="36">
        <v>55.22</v>
      </c>
      <c r="AJ22" s="34" t="e">
        <f t="shared" si="10"/>
        <v>#VALUE!</v>
      </c>
      <c r="AK22" s="34" t="e">
        <f t="shared" si="11"/>
        <v>#VALUE!</v>
      </c>
      <c r="AL22" s="34" t="e">
        <f t="shared" si="12"/>
        <v>#VALUE!</v>
      </c>
    </row>
    <row r="23" spans="2:38" x14ac:dyDescent="0.25">
      <c r="E23" s="25">
        <f t="shared" si="13"/>
        <v>20</v>
      </c>
      <c r="F23" s="26" t="str">
        <f t="shared" si="14"/>
        <v/>
      </c>
      <c r="G23" s="27" t="str">
        <f t="shared" si="15"/>
        <v/>
      </c>
      <c r="H23" s="28" t="str">
        <f t="shared" si="0"/>
        <v/>
      </c>
      <c r="I23" s="3" t="str">
        <f t="shared" si="16"/>
        <v/>
      </c>
      <c r="J23" s="3" t="str">
        <f t="shared" si="1"/>
        <v xml:space="preserve"> </v>
      </c>
      <c r="K23" s="3" t="str">
        <f t="shared" si="17"/>
        <v/>
      </c>
      <c r="L23" s="30" t="str">
        <f t="shared" si="2"/>
        <v/>
      </c>
      <c r="M23" s="29" t="str">
        <f t="shared" si="18"/>
        <v/>
      </c>
      <c r="N23" s="29" t="str">
        <f t="shared" si="22"/>
        <v/>
      </c>
      <c r="O23" s="29" t="str">
        <f t="shared" si="3"/>
        <v/>
      </c>
      <c r="P23" s="29" t="str">
        <f t="shared" si="4"/>
        <v/>
      </c>
      <c r="Q23" s="23" t="str">
        <f t="shared" si="5"/>
        <v/>
      </c>
      <c r="R23" s="5" t="str">
        <f t="shared" si="19"/>
        <v/>
      </c>
      <c r="S23" s="5" t="str">
        <f t="shared" si="20"/>
        <v/>
      </c>
      <c r="T23" s="5" t="str">
        <f t="shared" si="21"/>
        <v/>
      </c>
      <c r="U23" s="4" t="str">
        <f t="shared" si="6"/>
        <v/>
      </c>
      <c r="V23" s="6" t="str">
        <f t="shared" si="7"/>
        <v/>
      </c>
      <c r="W23" s="22" t="str">
        <f t="shared" si="8"/>
        <v/>
      </c>
      <c r="X23" s="22" t="str">
        <f t="shared" si="9"/>
        <v/>
      </c>
      <c r="Y23" s="22"/>
      <c r="Z23" s="1">
        <v>20</v>
      </c>
      <c r="AA23" s="1">
        <v>1</v>
      </c>
      <c r="AB23" s="1" t="s">
        <v>38</v>
      </c>
      <c r="AC23" s="2">
        <v>44360</v>
      </c>
      <c r="AD23" s="2">
        <v>43781</v>
      </c>
      <c r="AE23" s="36">
        <v>148.51</v>
      </c>
      <c r="AF23" s="36">
        <v>93.98</v>
      </c>
      <c r="AG23" s="36">
        <v>54.53</v>
      </c>
      <c r="AJ23" s="34" t="e">
        <f t="shared" si="10"/>
        <v>#VALUE!</v>
      </c>
      <c r="AK23" s="34" t="e">
        <f t="shared" si="11"/>
        <v>#VALUE!</v>
      </c>
      <c r="AL23" s="34" t="e">
        <f t="shared" si="12"/>
        <v>#VALUE!</v>
      </c>
    </row>
    <row r="24" spans="2:38" x14ac:dyDescent="0.25">
      <c r="E24" s="25">
        <f t="shared" si="13"/>
        <v>21</v>
      </c>
      <c r="F24" s="26" t="str">
        <f t="shared" si="14"/>
        <v/>
      </c>
      <c r="G24" s="27" t="str">
        <f t="shared" si="15"/>
        <v/>
      </c>
      <c r="H24" s="28" t="str">
        <f t="shared" si="0"/>
        <v/>
      </c>
      <c r="I24" s="7" t="str">
        <f t="shared" si="16"/>
        <v/>
      </c>
      <c r="J24" s="3" t="str">
        <f t="shared" si="1"/>
        <v xml:space="preserve"> </v>
      </c>
      <c r="K24" s="3" t="str">
        <f t="shared" si="17"/>
        <v/>
      </c>
      <c r="L24" s="30" t="str">
        <f t="shared" si="2"/>
        <v/>
      </c>
      <c r="M24" s="29" t="str">
        <f t="shared" si="18"/>
        <v/>
      </c>
      <c r="N24" s="29" t="str">
        <f t="shared" si="22"/>
        <v/>
      </c>
      <c r="O24" s="29" t="str">
        <f t="shared" si="3"/>
        <v/>
      </c>
      <c r="P24" s="29" t="str">
        <f t="shared" si="4"/>
        <v/>
      </c>
      <c r="Q24" s="23" t="str">
        <f t="shared" si="5"/>
        <v/>
      </c>
      <c r="R24" s="5" t="str">
        <f t="shared" si="19"/>
        <v/>
      </c>
      <c r="S24" s="5" t="str">
        <f t="shared" si="20"/>
        <v/>
      </c>
      <c r="T24" s="5" t="str">
        <f t="shared" si="21"/>
        <v/>
      </c>
      <c r="U24" s="4" t="str">
        <f t="shared" si="6"/>
        <v/>
      </c>
      <c r="V24" s="6" t="str">
        <f t="shared" si="7"/>
        <v/>
      </c>
      <c r="W24" s="22" t="str">
        <f t="shared" si="8"/>
        <v/>
      </c>
      <c r="X24" s="22" t="str">
        <f t="shared" si="9"/>
        <v/>
      </c>
      <c r="Y24" s="22"/>
      <c r="Z24" s="1">
        <v>21</v>
      </c>
      <c r="AA24" s="1">
        <v>1</v>
      </c>
      <c r="AB24" s="1" t="s">
        <v>38</v>
      </c>
      <c r="AC24" s="2">
        <v>44390</v>
      </c>
      <c r="AD24" s="2">
        <v>43781</v>
      </c>
      <c r="AE24" s="36">
        <v>148.51</v>
      </c>
      <c r="AF24" s="36">
        <v>98.21</v>
      </c>
      <c r="AG24" s="36">
        <v>50.3</v>
      </c>
      <c r="AJ24" s="34" t="e">
        <f t="shared" si="10"/>
        <v>#VALUE!</v>
      </c>
      <c r="AK24" s="34" t="e">
        <f t="shared" si="11"/>
        <v>#VALUE!</v>
      </c>
      <c r="AL24" s="34" t="e">
        <f t="shared" si="12"/>
        <v>#VALUE!</v>
      </c>
    </row>
    <row r="25" spans="2:38" x14ac:dyDescent="0.25">
      <c r="E25" s="25">
        <f t="shared" si="13"/>
        <v>22</v>
      </c>
      <c r="F25" s="26" t="str">
        <f t="shared" si="14"/>
        <v/>
      </c>
      <c r="G25" s="27" t="str">
        <f t="shared" si="15"/>
        <v/>
      </c>
      <c r="H25" s="28" t="str">
        <f t="shared" si="0"/>
        <v/>
      </c>
      <c r="I25" s="3" t="str">
        <f t="shared" si="16"/>
        <v/>
      </c>
      <c r="J25" s="3" t="str">
        <f t="shared" si="1"/>
        <v xml:space="preserve"> </v>
      </c>
      <c r="K25" s="7" t="str">
        <f t="shared" si="17"/>
        <v/>
      </c>
      <c r="L25" s="30" t="str">
        <f t="shared" si="2"/>
        <v/>
      </c>
      <c r="M25" s="29" t="str">
        <f t="shared" si="18"/>
        <v/>
      </c>
      <c r="N25" s="29" t="str">
        <f t="shared" si="22"/>
        <v/>
      </c>
      <c r="O25" s="29" t="str">
        <f t="shared" si="3"/>
        <v/>
      </c>
      <c r="P25" s="29" t="str">
        <f t="shared" si="4"/>
        <v/>
      </c>
      <c r="Q25" s="23" t="str">
        <f t="shared" si="5"/>
        <v/>
      </c>
      <c r="R25" s="5" t="str">
        <f t="shared" si="19"/>
        <v/>
      </c>
      <c r="S25" s="5" t="str">
        <f t="shared" si="20"/>
        <v/>
      </c>
      <c r="T25" s="5" t="str">
        <f t="shared" si="21"/>
        <v/>
      </c>
      <c r="U25" s="4" t="str">
        <f t="shared" si="6"/>
        <v/>
      </c>
      <c r="V25" s="6" t="str">
        <f t="shared" si="7"/>
        <v/>
      </c>
      <c r="W25" s="22" t="str">
        <f t="shared" si="8"/>
        <v/>
      </c>
      <c r="X25" s="22" t="str">
        <f t="shared" si="9"/>
        <v/>
      </c>
      <c r="Y25" s="22"/>
      <c r="Z25" s="1">
        <v>22</v>
      </c>
      <c r="AA25" s="1">
        <v>1</v>
      </c>
      <c r="AB25" s="1" t="s">
        <v>38</v>
      </c>
      <c r="AC25" s="2">
        <v>44421</v>
      </c>
      <c r="AD25" s="2">
        <v>43781</v>
      </c>
      <c r="AE25" s="36">
        <v>148.51</v>
      </c>
      <c r="AF25" s="36">
        <v>99.2</v>
      </c>
      <c r="AG25" s="36">
        <v>49.31</v>
      </c>
      <c r="AJ25" s="34" t="e">
        <f t="shared" si="10"/>
        <v>#VALUE!</v>
      </c>
      <c r="AK25" s="34" t="e">
        <f t="shared" si="11"/>
        <v>#VALUE!</v>
      </c>
      <c r="AL25" s="34" t="e">
        <f t="shared" si="12"/>
        <v>#VALUE!</v>
      </c>
    </row>
    <row r="26" spans="2:38" x14ac:dyDescent="0.25">
      <c r="E26" s="25">
        <f t="shared" si="13"/>
        <v>23</v>
      </c>
      <c r="F26" s="26" t="str">
        <f t="shared" si="14"/>
        <v/>
      </c>
      <c r="G26" s="27" t="str">
        <f t="shared" si="15"/>
        <v/>
      </c>
      <c r="H26" s="28" t="str">
        <f t="shared" si="0"/>
        <v/>
      </c>
      <c r="I26" s="3" t="str">
        <f t="shared" si="16"/>
        <v/>
      </c>
      <c r="J26" s="3" t="str">
        <f t="shared" si="1"/>
        <v xml:space="preserve"> </v>
      </c>
      <c r="K26" s="3" t="str">
        <f t="shared" si="17"/>
        <v/>
      </c>
      <c r="L26" s="30" t="str">
        <f t="shared" si="2"/>
        <v/>
      </c>
      <c r="M26" s="29" t="str">
        <f t="shared" si="18"/>
        <v/>
      </c>
      <c r="N26" s="29" t="str">
        <f t="shared" si="22"/>
        <v/>
      </c>
      <c r="O26" s="29" t="str">
        <f t="shared" si="3"/>
        <v/>
      </c>
      <c r="P26" s="29" t="str">
        <f t="shared" si="4"/>
        <v/>
      </c>
      <c r="Q26" s="23" t="str">
        <f t="shared" si="5"/>
        <v/>
      </c>
      <c r="R26" s="5" t="str">
        <f t="shared" si="19"/>
        <v/>
      </c>
      <c r="S26" s="5" t="str">
        <f t="shared" si="20"/>
        <v/>
      </c>
      <c r="T26" s="5" t="str">
        <f t="shared" si="21"/>
        <v/>
      </c>
      <c r="U26" s="4" t="str">
        <f t="shared" si="6"/>
        <v/>
      </c>
      <c r="V26" s="6" t="str">
        <f t="shared" si="7"/>
        <v/>
      </c>
      <c r="W26" s="22" t="str">
        <f t="shared" si="8"/>
        <v/>
      </c>
      <c r="X26" s="22" t="str">
        <f t="shared" si="9"/>
        <v/>
      </c>
      <c r="Y26" s="22"/>
      <c r="Z26" s="1">
        <v>23</v>
      </c>
      <c r="AA26" s="1">
        <v>1</v>
      </c>
      <c r="AB26" s="1" t="s">
        <v>38</v>
      </c>
      <c r="AC26" s="2">
        <v>44452</v>
      </c>
      <c r="AD26" s="2">
        <v>43781</v>
      </c>
      <c r="AE26" s="36">
        <v>148.51</v>
      </c>
      <c r="AF26" s="36">
        <v>101.9</v>
      </c>
      <c r="AG26" s="36">
        <v>46.61</v>
      </c>
      <c r="AJ26" s="34" t="e">
        <f t="shared" si="10"/>
        <v>#VALUE!</v>
      </c>
      <c r="AK26" s="34" t="e">
        <f t="shared" si="11"/>
        <v>#VALUE!</v>
      </c>
      <c r="AL26" s="34" t="e">
        <f t="shared" si="12"/>
        <v>#VALUE!</v>
      </c>
    </row>
    <row r="27" spans="2:38" x14ac:dyDescent="0.25">
      <c r="E27" s="25">
        <f t="shared" si="13"/>
        <v>24</v>
      </c>
      <c r="F27" s="26" t="str">
        <f t="shared" si="14"/>
        <v/>
      </c>
      <c r="G27" s="27" t="str">
        <f t="shared" si="15"/>
        <v/>
      </c>
      <c r="H27" s="28" t="str">
        <f t="shared" si="0"/>
        <v/>
      </c>
      <c r="I27" s="3" t="str">
        <f t="shared" si="16"/>
        <v/>
      </c>
      <c r="J27" s="7" t="str">
        <f t="shared" si="1"/>
        <v xml:space="preserve"> </v>
      </c>
      <c r="K27" s="3" t="str">
        <f t="shared" si="17"/>
        <v/>
      </c>
      <c r="L27" s="30" t="str">
        <f t="shared" si="2"/>
        <v/>
      </c>
      <c r="M27" s="29" t="str">
        <f t="shared" si="18"/>
        <v/>
      </c>
      <c r="N27" s="29" t="str">
        <f t="shared" si="22"/>
        <v/>
      </c>
      <c r="O27" s="29" t="str">
        <f t="shared" si="3"/>
        <v/>
      </c>
      <c r="P27" s="29" t="str">
        <f t="shared" si="4"/>
        <v/>
      </c>
      <c r="Q27" s="23" t="str">
        <f t="shared" si="5"/>
        <v/>
      </c>
      <c r="R27" s="5" t="str">
        <f t="shared" si="19"/>
        <v/>
      </c>
      <c r="S27" s="5" t="str">
        <f t="shared" si="20"/>
        <v/>
      </c>
      <c r="T27" s="5" t="str">
        <f t="shared" si="21"/>
        <v/>
      </c>
      <c r="U27" s="4" t="str">
        <f t="shared" si="6"/>
        <v/>
      </c>
      <c r="V27" s="6" t="str">
        <f t="shared" si="7"/>
        <v/>
      </c>
      <c r="W27" s="22" t="str">
        <f t="shared" si="8"/>
        <v/>
      </c>
      <c r="X27" s="22" t="str">
        <f t="shared" si="9"/>
        <v/>
      </c>
      <c r="Y27" s="22"/>
      <c r="Z27" s="1">
        <v>24</v>
      </c>
      <c r="AA27" s="1">
        <v>1</v>
      </c>
      <c r="AB27" s="1" t="s">
        <v>38</v>
      </c>
      <c r="AC27" s="2">
        <v>44482</v>
      </c>
      <c r="AD27" s="2">
        <v>43781</v>
      </c>
      <c r="AE27" s="36">
        <v>148.51</v>
      </c>
      <c r="AF27" s="36">
        <v>106.08</v>
      </c>
      <c r="AG27" s="36">
        <v>42.43</v>
      </c>
      <c r="AJ27" s="34" t="e">
        <f t="shared" si="10"/>
        <v>#VALUE!</v>
      </c>
      <c r="AK27" s="34" t="e">
        <f t="shared" si="11"/>
        <v>#VALUE!</v>
      </c>
      <c r="AL27" s="34" t="e">
        <f t="shared" si="12"/>
        <v>#VALUE!</v>
      </c>
    </row>
    <row r="28" spans="2:38" x14ac:dyDescent="0.25">
      <c r="E28" s="25">
        <f t="shared" si="13"/>
        <v>25</v>
      </c>
      <c r="F28" s="26" t="str">
        <f t="shared" si="14"/>
        <v/>
      </c>
      <c r="G28" s="27" t="str">
        <f t="shared" si="15"/>
        <v/>
      </c>
      <c r="H28" s="28" t="str">
        <f t="shared" si="0"/>
        <v/>
      </c>
      <c r="I28" s="3" t="str">
        <f t="shared" si="16"/>
        <v/>
      </c>
      <c r="J28" s="3" t="str">
        <f t="shared" si="1"/>
        <v xml:space="preserve"> </v>
      </c>
      <c r="K28" s="3" t="str">
        <f t="shared" si="17"/>
        <v/>
      </c>
      <c r="L28" s="30" t="str">
        <f t="shared" si="2"/>
        <v/>
      </c>
      <c r="M28" s="29" t="str">
        <f t="shared" si="18"/>
        <v/>
      </c>
      <c r="N28" s="29" t="str">
        <f>IFERROR(IF(AND(Q27="N",Q28="Y"),SUM(W28:X28),IF(AND(Q27="Y",Q28="N"),SUM(W28:X28),ROUND((M28+(0*(-1)))*(H28)+(0*(-1)),2))),"")</f>
        <v/>
      </c>
      <c r="O28" s="29" t="str">
        <f t="shared" si="3"/>
        <v/>
      </c>
      <c r="P28" s="29" t="str">
        <f t="shared" si="4"/>
        <v/>
      </c>
      <c r="Q28" s="23" t="str">
        <f t="shared" si="5"/>
        <v/>
      </c>
      <c r="R28" s="5" t="str">
        <f t="shared" si="19"/>
        <v/>
      </c>
      <c r="S28" s="5" t="str">
        <f t="shared" si="20"/>
        <v/>
      </c>
      <c r="T28" s="5" t="str">
        <f t="shared" si="21"/>
        <v/>
      </c>
      <c r="U28" s="4" t="str">
        <f t="shared" si="6"/>
        <v/>
      </c>
      <c r="V28" s="6" t="str">
        <f t="shared" si="7"/>
        <v/>
      </c>
      <c r="W28" s="22" t="str">
        <f t="shared" si="8"/>
        <v/>
      </c>
      <c r="X28" s="22" t="str">
        <f t="shared" si="9"/>
        <v/>
      </c>
      <c r="Y28" s="22"/>
      <c r="Z28" s="1">
        <v>25</v>
      </c>
      <c r="AA28" s="1">
        <v>1</v>
      </c>
      <c r="AB28" s="1" t="s">
        <v>38</v>
      </c>
      <c r="AC28" s="2">
        <v>44513</v>
      </c>
      <c r="AD28" s="2">
        <v>43781</v>
      </c>
      <c r="AE28" s="36">
        <v>148.51</v>
      </c>
      <c r="AF28" s="36">
        <v>107.54</v>
      </c>
      <c r="AG28" s="36">
        <v>40.97</v>
      </c>
      <c r="AJ28" s="34" t="e">
        <f t="shared" si="10"/>
        <v>#VALUE!</v>
      </c>
      <c r="AK28" s="34" t="e">
        <f t="shared" si="11"/>
        <v>#VALUE!</v>
      </c>
      <c r="AL28" s="34" t="e">
        <f t="shared" si="12"/>
        <v>#VALUE!</v>
      </c>
    </row>
    <row r="29" spans="2:38" x14ac:dyDescent="0.25">
      <c r="E29" s="25">
        <f t="shared" si="13"/>
        <v>26</v>
      </c>
      <c r="F29" s="26" t="str">
        <f t="shared" si="14"/>
        <v/>
      </c>
      <c r="G29" s="27" t="str">
        <f t="shared" si="15"/>
        <v/>
      </c>
      <c r="H29" s="28" t="str">
        <f t="shared" si="0"/>
        <v/>
      </c>
      <c r="I29" s="3" t="str">
        <f t="shared" si="16"/>
        <v/>
      </c>
      <c r="J29" s="3" t="str">
        <f t="shared" si="1"/>
        <v xml:space="preserve"> </v>
      </c>
      <c r="K29" s="3" t="str">
        <f t="shared" si="17"/>
        <v/>
      </c>
      <c r="L29" s="30" t="str">
        <f t="shared" si="2"/>
        <v/>
      </c>
      <c r="M29" s="29" t="str">
        <f t="shared" si="18"/>
        <v/>
      </c>
      <c r="N29" s="29" t="str">
        <f t="shared" si="22"/>
        <v/>
      </c>
      <c r="O29" s="29" t="str">
        <f t="shared" si="3"/>
        <v/>
      </c>
      <c r="P29" s="29" t="str">
        <f t="shared" si="4"/>
        <v/>
      </c>
      <c r="Q29" s="23" t="str">
        <f t="shared" si="5"/>
        <v/>
      </c>
      <c r="R29" s="5" t="str">
        <f t="shared" si="19"/>
        <v/>
      </c>
      <c r="S29" s="5" t="str">
        <f t="shared" si="20"/>
        <v/>
      </c>
      <c r="T29" s="5" t="str">
        <f t="shared" si="21"/>
        <v/>
      </c>
      <c r="U29" s="4" t="str">
        <f t="shared" si="6"/>
        <v/>
      </c>
      <c r="V29" s="6" t="str">
        <f t="shared" si="7"/>
        <v/>
      </c>
      <c r="W29" s="22" t="str">
        <f t="shared" si="8"/>
        <v/>
      </c>
      <c r="X29" s="22" t="str">
        <f t="shared" si="9"/>
        <v/>
      </c>
      <c r="Y29" s="22"/>
      <c r="Z29" s="1">
        <v>26</v>
      </c>
      <c r="AA29" s="1">
        <v>1</v>
      </c>
      <c r="AB29" s="1" t="s">
        <v>38</v>
      </c>
      <c r="AC29" s="2">
        <v>44543</v>
      </c>
      <c r="AD29" s="2">
        <v>43781</v>
      </c>
      <c r="AE29" s="36">
        <v>148.51</v>
      </c>
      <c r="AF29" s="36">
        <v>111.69</v>
      </c>
      <c r="AG29" s="36">
        <v>36.82</v>
      </c>
      <c r="AJ29" s="34" t="e">
        <f t="shared" si="10"/>
        <v>#VALUE!</v>
      </c>
      <c r="AK29" s="34" t="e">
        <f t="shared" si="11"/>
        <v>#VALUE!</v>
      </c>
      <c r="AL29" s="34" t="e">
        <f t="shared" si="12"/>
        <v>#VALUE!</v>
      </c>
    </row>
    <row r="30" spans="2:38" x14ac:dyDescent="0.25">
      <c r="E30" s="25">
        <f t="shared" si="13"/>
        <v>27</v>
      </c>
      <c r="F30" s="26" t="str">
        <f t="shared" si="14"/>
        <v/>
      </c>
      <c r="G30" s="27" t="str">
        <f t="shared" si="15"/>
        <v/>
      </c>
      <c r="H30" s="28" t="str">
        <f t="shared" si="0"/>
        <v/>
      </c>
      <c r="I30" s="3" t="str">
        <f t="shared" si="16"/>
        <v/>
      </c>
      <c r="J30" s="3" t="str">
        <f t="shared" si="1"/>
        <v xml:space="preserve"> </v>
      </c>
      <c r="K30" s="3" t="str">
        <f t="shared" si="17"/>
        <v/>
      </c>
      <c r="L30" s="30" t="str">
        <f t="shared" si="2"/>
        <v/>
      </c>
      <c r="M30" s="29" t="str">
        <f t="shared" si="18"/>
        <v/>
      </c>
      <c r="N30" s="29" t="str">
        <f t="shared" si="22"/>
        <v/>
      </c>
      <c r="O30" s="29" t="str">
        <f t="shared" si="3"/>
        <v/>
      </c>
      <c r="P30" s="29" t="str">
        <f t="shared" si="4"/>
        <v/>
      </c>
      <c r="Q30" s="23" t="str">
        <f t="shared" si="5"/>
        <v/>
      </c>
      <c r="R30" s="5" t="str">
        <f t="shared" si="19"/>
        <v/>
      </c>
      <c r="S30" s="5" t="str">
        <f t="shared" si="20"/>
        <v/>
      </c>
      <c r="T30" s="5" t="str">
        <f t="shared" si="21"/>
        <v/>
      </c>
      <c r="U30" s="4" t="str">
        <f t="shared" si="6"/>
        <v/>
      </c>
      <c r="V30" s="6" t="str">
        <f t="shared" si="7"/>
        <v/>
      </c>
      <c r="W30" s="22" t="str">
        <f t="shared" si="8"/>
        <v/>
      </c>
      <c r="X30" s="22" t="str">
        <f t="shared" si="9"/>
        <v/>
      </c>
      <c r="Y30" s="22"/>
      <c r="Z30" s="1">
        <v>27</v>
      </c>
      <c r="AA30" s="1">
        <v>1</v>
      </c>
      <c r="AB30" s="1" t="s">
        <v>38</v>
      </c>
      <c r="AC30" s="2">
        <v>44574</v>
      </c>
      <c r="AD30" s="2">
        <v>43781</v>
      </c>
      <c r="AE30" s="36">
        <v>148.51</v>
      </c>
      <c r="AF30" s="36">
        <v>113.5</v>
      </c>
      <c r="AG30" s="36">
        <v>35.01</v>
      </c>
      <c r="AJ30" s="34" t="e">
        <f t="shared" si="10"/>
        <v>#VALUE!</v>
      </c>
      <c r="AK30" s="34" t="e">
        <f t="shared" si="11"/>
        <v>#VALUE!</v>
      </c>
      <c r="AL30" s="34" t="e">
        <f t="shared" si="12"/>
        <v>#VALUE!</v>
      </c>
    </row>
    <row r="31" spans="2:38" x14ac:dyDescent="0.25">
      <c r="E31" s="25">
        <f t="shared" si="13"/>
        <v>28</v>
      </c>
      <c r="F31" s="26" t="str">
        <f t="shared" si="14"/>
        <v/>
      </c>
      <c r="G31" s="27" t="str">
        <f t="shared" si="15"/>
        <v/>
      </c>
      <c r="H31" s="28" t="str">
        <f t="shared" si="0"/>
        <v/>
      </c>
      <c r="I31" s="3" t="str">
        <f t="shared" si="16"/>
        <v/>
      </c>
      <c r="J31" s="3" t="str">
        <f t="shared" si="1"/>
        <v xml:space="preserve"> </v>
      </c>
      <c r="K31" s="3" t="str">
        <f t="shared" si="17"/>
        <v/>
      </c>
      <c r="L31" s="30" t="str">
        <f t="shared" si="2"/>
        <v/>
      </c>
      <c r="M31" s="29" t="str">
        <f t="shared" si="18"/>
        <v/>
      </c>
      <c r="N31" s="29" t="str">
        <f t="shared" si="22"/>
        <v/>
      </c>
      <c r="O31" s="29" t="str">
        <f t="shared" si="3"/>
        <v/>
      </c>
      <c r="P31" s="29" t="str">
        <f t="shared" si="4"/>
        <v/>
      </c>
      <c r="Q31" s="23" t="str">
        <f t="shared" si="5"/>
        <v/>
      </c>
      <c r="R31" s="5" t="str">
        <f t="shared" si="19"/>
        <v/>
      </c>
      <c r="S31" s="5" t="str">
        <f t="shared" si="20"/>
        <v/>
      </c>
      <c r="T31" s="5" t="str">
        <f t="shared" si="21"/>
        <v/>
      </c>
      <c r="U31" s="4" t="str">
        <f t="shared" si="6"/>
        <v/>
      </c>
      <c r="V31" s="6" t="str">
        <f t="shared" si="7"/>
        <v/>
      </c>
      <c r="W31" s="22" t="str">
        <f t="shared" si="8"/>
        <v/>
      </c>
      <c r="X31" s="22" t="str">
        <f t="shared" si="9"/>
        <v/>
      </c>
      <c r="Y31" s="22"/>
      <c r="Z31" s="1">
        <v>28</v>
      </c>
      <c r="AA31" s="1">
        <v>1</v>
      </c>
      <c r="AB31" s="1" t="s">
        <v>38</v>
      </c>
      <c r="AC31" s="2">
        <v>44605</v>
      </c>
      <c r="AD31" s="2">
        <v>43781</v>
      </c>
      <c r="AE31" s="36">
        <v>148.51</v>
      </c>
      <c r="AF31" s="36">
        <v>116.58</v>
      </c>
      <c r="AG31" s="36">
        <v>31.93</v>
      </c>
      <c r="AJ31" s="34" t="e">
        <f t="shared" si="10"/>
        <v>#VALUE!</v>
      </c>
      <c r="AK31" s="34" t="e">
        <f t="shared" si="11"/>
        <v>#VALUE!</v>
      </c>
      <c r="AL31" s="34" t="e">
        <f t="shared" si="12"/>
        <v>#VALUE!</v>
      </c>
    </row>
    <row r="32" spans="2:38" x14ac:dyDescent="0.25">
      <c r="E32" s="25">
        <f t="shared" si="13"/>
        <v>29</v>
      </c>
      <c r="F32" s="26" t="str">
        <f t="shared" si="14"/>
        <v/>
      </c>
      <c r="G32" s="27" t="str">
        <f t="shared" si="15"/>
        <v/>
      </c>
      <c r="H32" s="28" t="str">
        <f t="shared" si="0"/>
        <v/>
      </c>
      <c r="I32" s="3" t="str">
        <f t="shared" si="16"/>
        <v/>
      </c>
      <c r="J32" s="3" t="str">
        <f t="shared" si="1"/>
        <v xml:space="preserve"> </v>
      </c>
      <c r="K32" s="3" t="str">
        <f t="shared" si="17"/>
        <v/>
      </c>
      <c r="L32" s="30" t="str">
        <f t="shared" si="2"/>
        <v/>
      </c>
      <c r="M32" s="29" t="str">
        <f t="shared" si="18"/>
        <v/>
      </c>
      <c r="N32" s="29" t="str">
        <f t="shared" si="22"/>
        <v/>
      </c>
      <c r="O32" s="29" t="str">
        <f t="shared" si="3"/>
        <v/>
      </c>
      <c r="P32" s="29" t="str">
        <f t="shared" si="4"/>
        <v/>
      </c>
      <c r="Q32" s="23" t="str">
        <f t="shared" si="5"/>
        <v/>
      </c>
      <c r="R32" s="5" t="str">
        <f t="shared" si="19"/>
        <v/>
      </c>
      <c r="S32" s="5" t="str">
        <f t="shared" si="20"/>
        <v/>
      </c>
      <c r="T32" s="5" t="str">
        <f t="shared" si="21"/>
        <v/>
      </c>
      <c r="U32" s="4" t="str">
        <f t="shared" si="6"/>
        <v/>
      </c>
      <c r="V32" s="6" t="str">
        <f t="shared" si="7"/>
        <v/>
      </c>
      <c r="W32" s="22" t="str">
        <f t="shared" si="8"/>
        <v/>
      </c>
      <c r="X32" s="22" t="str">
        <f t="shared" si="9"/>
        <v/>
      </c>
      <c r="Y32" s="22"/>
      <c r="Z32" s="1">
        <v>29</v>
      </c>
      <c r="AA32" s="1">
        <v>1</v>
      </c>
      <c r="AB32" s="1" t="s">
        <v>38</v>
      </c>
      <c r="AC32" s="2">
        <v>44633</v>
      </c>
      <c r="AD32" s="2">
        <v>43781</v>
      </c>
      <c r="AE32" s="36">
        <v>148.51</v>
      </c>
      <c r="AF32" s="36">
        <v>122.53</v>
      </c>
      <c r="AG32" s="36">
        <v>25.98</v>
      </c>
      <c r="AJ32" s="34" t="e">
        <f t="shared" si="10"/>
        <v>#VALUE!</v>
      </c>
      <c r="AK32" s="34" t="e">
        <f t="shared" si="11"/>
        <v>#VALUE!</v>
      </c>
      <c r="AL32" s="34" t="e">
        <f t="shared" si="12"/>
        <v>#VALUE!</v>
      </c>
    </row>
    <row r="33" spans="5:38" x14ac:dyDescent="0.25">
      <c r="E33" s="25">
        <f t="shared" si="13"/>
        <v>30</v>
      </c>
      <c r="F33" s="26" t="str">
        <f t="shared" si="14"/>
        <v/>
      </c>
      <c r="G33" s="27" t="str">
        <f t="shared" si="15"/>
        <v/>
      </c>
      <c r="H33" s="28" t="str">
        <f t="shared" si="0"/>
        <v/>
      </c>
      <c r="I33" s="3" t="str">
        <f t="shared" si="16"/>
        <v/>
      </c>
      <c r="J33" s="3" t="str">
        <f t="shared" si="1"/>
        <v xml:space="preserve"> </v>
      </c>
      <c r="K33" s="3" t="str">
        <f t="shared" si="17"/>
        <v/>
      </c>
      <c r="L33" s="30" t="str">
        <f t="shared" si="2"/>
        <v/>
      </c>
      <c r="M33" s="29" t="str">
        <f t="shared" si="18"/>
        <v/>
      </c>
      <c r="N33" s="29" t="str">
        <f t="shared" si="22"/>
        <v/>
      </c>
      <c r="O33" s="29" t="str">
        <f t="shared" si="3"/>
        <v/>
      </c>
      <c r="P33" s="29" t="str">
        <f t="shared" si="4"/>
        <v/>
      </c>
      <c r="Q33" s="23" t="str">
        <f t="shared" si="5"/>
        <v/>
      </c>
      <c r="R33" s="5" t="str">
        <f t="shared" si="19"/>
        <v/>
      </c>
      <c r="S33" s="5" t="str">
        <f t="shared" si="20"/>
        <v/>
      </c>
      <c r="T33" s="5" t="str">
        <f t="shared" si="21"/>
        <v/>
      </c>
      <c r="U33" s="4" t="str">
        <f t="shared" si="6"/>
        <v/>
      </c>
      <c r="V33" s="6" t="str">
        <f t="shared" si="7"/>
        <v/>
      </c>
      <c r="W33" s="22" t="str">
        <f t="shared" si="8"/>
        <v/>
      </c>
      <c r="X33" s="22" t="str">
        <f t="shared" si="9"/>
        <v/>
      </c>
      <c r="Y33" s="22"/>
      <c r="Z33" s="1">
        <v>30</v>
      </c>
      <c r="AA33" s="1">
        <v>1</v>
      </c>
      <c r="AB33" s="1" t="s">
        <v>38</v>
      </c>
      <c r="AC33" s="2">
        <v>44664</v>
      </c>
      <c r="AD33" s="2">
        <v>43781</v>
      </c>
      <c r="AE33" s="36">
        <v>148.51</v>
      </c>
      <c r="AF33" s="36">
        <v>123.08</v>
      </c>
      <c r="AG33" s="36">
        <v>25.43</v>
      </c>
      <c r="AJ33" s="34" t="e">
        <f t="shared" si="10"/>
        <v>#VALUE!</v>
      </c>
      <c r="AK33" s="34" t="e">
        <f t="shared" si="11"/>
        <v>#VALUE!</v>
      </c>
      <c r="AL33" s="34" t="e">
        <f t="shared" si="12"/>
        <v>#VALUE!</v>
      </c>
    </row>
    <row r="34" spans="5:38" x14ac:dyDescent="0.25">
      <c r="E34" s="25">
        <f t="shared" si="13"/>
        <v>31</v>
      </c>
      <c r="F34" s="26" t="str">
        <f t="shared" si="14"/>
        <v/>
      </c>
      <c r="G34" s="27" t="str">
        <f t="shared" si="15"/>
        <v/>
      </c>
      <c r="H34" s="28" t="str">
        <f t="shared" si="0"/>
        <v/>
      </c>
      <c r="I34" s="3" t="str">
        <f t="shared" si="16"/>
        <v/>
      </c>
      <c r="J34" s="3" t="str">
        <f t="shared" si="1"/>
        <v xml:space="preserve"> </v>
      </c>
      <c r="K34" s="3" t="str">
        <f t="shared" si="17"/>
        <v/>
      </c>
      <c r="L34" s="30" t="str">
        <f t="shared" si="2"/>
        <v/>
      </c>
      <c r="M34" s="29" t="str">
        <f t="shared" si="18"/>
        <v/>
      </c>
      <c r="N34" s="29" t="str">
        <f t="shared" si="22"/>
        <v/>
      </c>
      <c r="O34" s="29" t="str">
        <f t="shared" si="3"/>
        <v/>
      </c>
      <c r="P34" s="29" t="str">
        <f t="shared" si="4"/>
        <v/>
      </c>
      <c r="Q34" s="23" t="str">
        <f t="shared" si="5"/>
        <v/>
      </c>
      <c r="R34" s="5" t="str">
        <f t="shared" si="19"/>
        <v/>
      </c>
      <c r="S34" s="5" t="str">
        <f t="shared" si="20"/>
        <v/>
      </c>
      <c r="T34" s="5" t="str">
        <f t="shared" si="21"/>
        <v/>
      </c>
      <c r="U34" s="4" t="str">
        <f t="shared" si="6"/>
        <v/>
      </c>
      <c r="V34" s="6" t="str">
        <f t="shared" si="7"/>
        <v/>
      </c>
      <c r="W34" s="22" t="str">
        <f t="shared" si="8"/>
        <v/>
      </c>
      <c r="X34" s="22" t="str">
        <f t="shared" si="9"/>
        <v/>
      </c>
      <c r="Y34" s="22"/>
      <c r="Z34" s="1">
        <v>31</v>
      </c>
      <c r="AA34" s="1">
        <v>1</v>
      </c>
      <c r="AB34" s="1" t="s">
        <v>38</v>
      </c>
      <c r="AC34" s="2">
        <v>44694</v>
      </c>
      <c r="AD34" s="2">
        <v>43781</v>
      </c>
      <c r="AE34" s="36">
        <v>148.51</v>
      </c>
      <c r="AF34" s="36">
        <v>127.13</v>
      </c>
      <c r="AG34" s="36">
        <v>21.38</v>
      </c>
      <c r="AJ34" s="34" t="e">
        <f t="shared" si="10"/>
        <v>#VALUE!</v>
      </c>
      <c r="AK34" s="34" t="e">
        <f t="shared" si="11"/>
        <v>#VALUE!</v>
      </c>
      <c r="AL34" s="34" t="e">
        <f t="shared" si="12"/>
        <v>#VALUE!</v>
      </c>
    </row>
    <row r="35" spans="5:38" x14ac:dyDescent="0.25">
      <c r="E35" s="25">
        <f t="shared" si="13"/>
        <v>32</v>
      </c>
      <c r="F35" s="26" t="str">
        <f t="shared" si="14"/>
        <v/>
      </c>
      <c r="G35" s="27" t="str">
        <f t="shared" si="15"/>
        <v/>
      </c>
      <c r="H35" s="28" t="str">
        <f t="shared" si="0"/>
        <v/>
      </c>
      <c r="I35" s="3" t="str">
        <f t="shared" si="16"/>
        <v/>
      </c>
      <c r="J35" s="3" t="str">
        <f t="shared" si="1"/>
        <v xml:space="preserve"> </v>
      </c>
      <c r="K35" s="3" t="str">
        <f t="shared" si="17"/>
        <v/>
      </c>
      <c r="L35" s="30" t="str">
        <f t="shared" si="2"/>
        <v/>
      </c>
      <c r="M35" s="29" t="str">
        <f t="shared" si="18"/>
        <v/>
      </c>
      <c r="N35" s="29" t="str">
        <f t="shared" si="22"/>
        <v/>
      </c>
      <c r="O35" s="29" t="str">
        <f t="shared" si="3"/>
        <v/>
      </c>
      <c r="P35" s="29" t="str">
        <f t="shared" si="4"/>
        <v/>
      </c>
      <c r="Q35" s="23" t="str">
        <f t="shared" si="5"/>
        <v/>
      </c>
      <c r="R35" s="5" t="str">
        <f t="shared" si="19"/>
        <v/>
      </c>
      <c r="S35" s="5" t="str">
        <f t="shared" si="20"/>
        <v/>
      </c>
      <c r="T35" s="5" t="str">
        <f t="shared" si="21"/>
        <v/>
      </c>
      <c r="U35" s="4" t="str">
        <f t="shared" si="6"/>
        <v/>
      </c>
      <c r="V35" s="6" t="str">
        <f t="shared" si="7"/>
        <v/>
      </c>
      <c r="W35" s="22" t="str">
        <f t="shared" si="8"/>
        <v/>
      </c>
      <c r="X35" s="22" t="str">
        <f t="shared" si="9"/>
        <v/>
      </c>
      <c r="Y35" s="22"/>
      <c r="Z35" s="1">
        <v>32</v>
      </c>
      <c r="AA35" s="1">
        <v>1</v>
      </c>
      <c r="AB35" s="1" t="s">
        <v>38</v>
      </c>
      <c r="AC35" s="2">
        <v>44725</v>
      </c>
      <c r="AD35" s="2">
        <v>43781</v>
      </c>
      <c r="AE35" s="36">
        <v>148.51</v>
      </c>
      <c r="AF35" s="36">
        <v>129.87</v>
      </c>
      <c r="AG35" s="36">
        <v>18.64</v>
      </c>
      <c r="AJ35" s="34" t="e">
        <f t="shared" si="10"/>
        <v>#VALUE!</v>
      </c>
      <c r="AK35" s="34" t="e">
        <f t="shared" si="11"/>
        <v>#VALUE!</v>
      </c>
      <c r="AL35" s="34" t="e">
        <f t="shared" si="12"/>
        <v>#VALUE!</v>
      </c>
    </row>
    <row r="36" spans="5:38" x14ac:dyDescent="0.25">
      <c r="E36" s="25">
        <f t="shared" si="13"/>
        <v>33</v>
      </c>
      <c r="F36" s="26" t="str">
        <f t="shared" si="14"/>
        <v/>
      </c>
      <c r="G36" s="27" t="str">
        <f t="shared" si="15"/>
        <v/>
      </c>
      <c r="H36" s="28" t="str">
        <f t="shared" si="0"/>
        <v/>
      </c>
      <c r="I36" s="3" t="str">
        <f t="shared" si="16"/>
        <v/>
      </c>
      <c r="J36" s="3" t="str">
        <f t="shared" si="1"/>
        <v xml:space="preserve"> </v>
      </c>
      <c r="K36" s="3" t="str">
        <f t="shared" si="17"/>
        <v/>
      </c>
      <c r="L36" s="30" t="str">
        <f t="shared" si="2"/>
        <v/>
      </c>
      <c r="M36" s="29" t="str">
        <f t="shared" si="18"/>
        <v/>
      </c>
      <c r="N36" s="29" t="str">
        <f t="shared" si="22"/>
        <v/>
      </c>
      <c r="O36" s="29" t="str">
        <f t="shared" si="3"/>
        <v/>
      </c>
      <c r="P36" s="29" t="str">
        <f t="shared" si="4"/>
        <v/>
      </c>
      <c r="Q36" s="23" t="str">
        <f t="shared" ref="Q36:Q69" si="23">IFERROR(IF(IF(DAY(DATE(MID(F36,7,4),3,0))=29,366,365)=366,"Y","N"),"")</f>
        <v/>
      </c>
      <c r="R36" s="5" t="str">
        <f t="shared" si="19"/>
        <v/>
      </c>
      <c r="S36" s="5" t="str">
        <f t="shared" si="20"/>
        <v/>
      </c>
      <c r="T36" s="5" t="str">
        <f t="shared" si="21"/>
        <v/>
      </c>
      <c r="U36" s="4" t="str">
        <f t="shared" ref="U36:U69" si="24">IFERROR(IF(E36=" "," ",IF($E36&lt;=$C$16,SUM(S36-R36)*$C$14/IF(DAY(DATE(MID(S36,7,4),3,0))=29,366,365),SUM(S36-R36)*$C$15/IF(DAY(DATE(MID(S36,7,4),3,0))=29,366,365))),"")</f>
        <v/>
      </c>
      <c r="V36" s="6" t="str">
        <f t="shared" ref="V36:V69" si="25">IFERROR(IF(E36=" "," ",IF($E36&lt;=$C$16,SUM(T36-S36)*$C$14/IF(DAY(DATE(MID(T36,7,4),3,0))=29,366,365),SUM(T36-S36)*$C$15/IF(DAY(DATE(MID(T36,7,4),3,0))=29,366,365))),"")</f>
        <v/>
      </c>
      <c r="W36" s="22" t="str">
        <f t="shared" ref="W36:W69" si="26">IFERROR(TRUNC(U36*M36,2),"")</f>
        <v/>
      </c>
      <c r="X36" s="22" t="str">
        <f t="shared" ref="X36:X69" si="27">IFERROR(TRUNC(V36*M36,2),"")</f>
        <v/>
      </c>
      <c r="Y36" s="22"/>
      <c r="Z36" s="1">
        <v>33</v>
      </c>
      <c r="AA36" s="1">
        <v>1</v>
      </c>
      <c r="AB36" s="1" t="s">
        <v>38</v>
      </c>
      <c r="AC36" s="2">
        <v>44755</v>
      </c>
      <c r="AD36" s="2">
        <v>43781</v>
      </c>
      <c r="AE36" s="36">
        <v>148.51</v>
      </c>
      <c r="AF36" s="36">
        <v>133.88999999999999</v>
      </c>
      <c r="AG36" s="36">
        <v>14.62</v>
      </c>
      <c r="AJ36" s="34" t="e">
        <f t="shared" si="10"/>
        <v>#VALUE!</v>
      </c>
      <c r="AK36" s="34" t="e">
        <f t="shared" si="11"/>
        <v>#VALUE!</v>
      </c>
      <c r="AL36" s="34" t="e">
        <f t="shared" si="12"/>
        <v>#VALUE!</v>
      </c>
    </row>
    <row r="37" spans="5:38" x14ac:dyDescent="0.25">
      <c r="E37" s="25">
        <f t="shared" si="13"/>
        <v>34</v>
      </c>
      <c r="F37" s="26" t="str">
        <f t="shared" si="14"/>
        <v/>
      </c>
      <c r="G37" s="27" t="str">
        <f t="shared" si="15"/>
        <v/>
      </c>
      <c r="H37" s="28" t="str">
        <f t="shared" si="0"/>
        <v/>
      </c>
      <c r="I37" s="3" t="str">
        <f t="shared" si="16"/>
        <v/>
      </c>
      <c r="J37" s="3" t="str">
        <f t="shared" si="1"/>
        <v xml:space="preserve"> </v>
      </c>
      <c r="K37" s="3" t="str">
        <f t="shared" si="17"/>
        <v/>
      </c>
      <c r="L37" s="30" t="str">
        <f t="shared" si="2"/>
        <v/>
      </c>
      <c r="M37" s="29" t="str">
        <f t="shared" si="18"/>
        <v/>
      </c>
      <c r="N37" s="29" t="str">
        <f t="shared" si="22"/>
        <v/>
      </c>
      <c r="O37" s="29" t="str">
        <f t="shared" si="3"/>
        <v/>
      </c>
      <c r="P37" s="29" t="str">
        <f t="shared" si="4"/>
        <v/>
      </c>
      <c r="Q37" s="23" t="str">
        <f t="shared" si="23"/>
        <v/>
      </c>
      <c r="R37" s="5" t="str">
        <f t="shared" ref="R37:R68" si="28">TEXT(IF(AND(Q36="N",Q37="Y"),EDATE($F$4,E37-2),IF(AND(Q36="Y",Q37="N"),EDATE($F$4,E37-2),"")),"DD/MM/YYYY")</f>
        <v/>
      </c>
      <c r="S37" s="5" t="str">
        <f t="shared" si="20"/>
        <v/>
      </c>
      <c r="T37" s="5" t="str">
        <f t="shared" si="21"/>
        <v/>
      </c>
      <c r="U37" s="4" t="str">
        <f t="shared" si="24"/>
        <v/>
      </c>
      <c r="V37" s="6" t="str">
        <f t="shared" si="25"/>
        <v/>
      </c>
      <c r="W37" s="22" t="str">
        <f t="shared" si="26"/>
        <v/>
      </c>
      <c r="X37" s="22" t="str">
        <f t="shared" si="27"/>
        <v/>
      </c>
      <c r="Y37" s="22"/>
      <c r="Z37" s="1">
        <v>34</v>
      </c>
      <c r="AA37" s="1">
        <v>1</v>
      </c>
      <c r="AB37" s="1" t="s">
        <v>38</v>
      </c>
      <c r="AC37" s="2">
        <v>44786</v>
      </c>
      <c r="AD37" s="2">
        <v>43781</v>
      </c>
      <c r="AE37" s="36">
        <v>148.51</v>
      </c>
      <c r="AF37" s="36">
        <v>137.04</v>
      </c>
      <c r="AG37" s="36">
        <v>11.47</v>
      </c>
      <c r="AJ37" s="34" t="e">
        <f t="shared" si="10"/>
        <v>#VALUE!</v>
      </c>
      <c r="AK37" s="34" t="e">
        <f t="shared" si="11"/>
        <v>#VALUE!</v>
      </c>
      <c r="AL37" s="34" t="e">
        <f t="shared" si="12"/>
        <v>#VALUE!</v>
      </c>
    </row>
    <row r="38" spans="5:38" x14ac:dyDescent="0.25">
      <c r="E38" s="25">
        <f t="shared" si="13"/>
        <v>35</v>
      </c>
      <c r="F38" s="26" t="str">
        <f t="shared" si="14"/>
        <v/>
      </c>
      <c r="G38" s="27" t="str">
        <f t="shared" si="15"/>
        <v/>
      </c>
      <c r="H38" s="28" t="str">
        <f t="shared" si="0"/>
        <v/>
      </c>
      <c r="I38" s="3" t="str">
        <f t="shared" si="16"/>
        <v/>
      </c>
      <c r="J38" s="3" t="str">
        <f t="shared" si="1"/>
        <v xml:space="preserve"> </v>
      </c>
      <c r="K38" s="3" t="str">
        <f t="shared" si="17"/>
        <v/>
      </c>
      <c r="L38" s="30" t="str">
        <f t="shared" si="2"/>
        <v/>
      </c>
      <c r="M38" s="29" t="str">
        <f t="shared" si="18"/>
        <v/>
      </c>
      <c r="N38" s="29" t="str">
        <f t="shared" si="22"/>
        <v/>
      </c>
      <c r="O38" s="29" t="str">
        <f t="shared" si="3"/>
        <v/>
      </c>
      <c r="P38" s="29" t="str">
        <f t="shared" si="4"/>
        <v/>
      </c>
      <c r="Q38" s="23" t="str">
        <f t="shared" si="23"/>
        <v/>
      </c>
      <c r="R38" s="5" t="str">
        <f t="shared" si="28"/>
        <v/>
      </c>
      <c r="S38" s="5" t="str">
        <f t="shared" si="20"/>
        <v/>
      </c>
      <c r="T38" s="5" t="str">
        <f t="shared" si="21"/>
        <v/>
      </c>
      <c r="U38" s="4" t="str">
        <f t="shared" si="24"/>
        <v/>
      </c>
      <c r="V38" s="6" t="str">
        <f t="shared" si="25"/>
        <v/>
      </c>
      <c r="W38" s="22" t="str">
        <f t="shared" si="26"/>
        <v/>
      </c>
      <c r="X38" s="22" t="str">
        <f t="shared" si="27"/>
        <v/>
      </c>
      <c r="Y38" s="22"/>
      <c r="Z38" s="1">
        <v>35</v>
      </c>
      <c r="AA38" s="1">
        <v>1</v>
      </c>
      <c r="AB38" s="1" t="s">
        <v>38</v>
      </c>
      <c r="AC38" s="2">
        <v>44817</v>
      </c>
      <c r="AD38" s="2">
        <v>43781</v>
      </c>
      <c r="AE38" s="36">
        <v>148.51</v>
      </c>
      <c r="AF38" s="36">
        <v>140.76</v>
      </c>
      <c r="AG38" s="36">
        <v>7.75</v>
      </c>
      <c r="AJ38" s="34" t="e">
        <f t="shared" si="10"/>
        <v>#VALUE!</v>
      </c>
      <c r="AK38" s="34" t="e">
        <f t="shared" si="11"/>
        <v>#VALUE!</v>
      </c>
      <c r="AL38" s="34" t="e">
        <f t="shared" si="12"/>
        <v>#VALUE!</v>
      </c>
    </row>
    <row r="39" spans="5:38" x14ac:dyDescent="0.25">
      <c r="E39" s="25">
        <f t="shared" si="13"/>
        <v>36</v>
      </c>
      <c r="F39" s="26" t="str">
        <f t="shared" si="14"/>
        <v/>
      </c>
      <c r="G39" s="27" t="str">
        <f t="shared" si="15"/>
        <v/>
      </c>
      <c r="H39" s="28" t="str">
        <f t="shared" si="0"/>
        <v/>
      </c>
      <c r="I39" s="3" t="str">
        <f t="shared" si="16"/>
        <v/>
      </c>
      <c r="J39" s="3" t="str">
        <f t="shared" si="1"/>
        <v xml:space="preserve"> </v>
      </c>
      <c r="K39" s="3" t="str">
        <f t="shared" si="17"/>
        <v/>
      </c>
      <c r="L39" s="30" t="str">
        <f t="shared" si="2"/>
        <v/>
      </c>
      <c r="M39" s="29" t="str">
        <f t="shared" si="18"/>
        <v/>
      </c>
      <c r="N39" s="29" t="str">
        <f t="shared" si="22"/>
        <v/>
      </c>
      <c r="O39" s="29" t="str">
        <f t="shared" si="3"/>
        <v/>
      </c>
      <c r="P39" s="29" t="str">
        <f t="shared" si="4"/>
        <v/>
      </c>
      <c r="Q39" s="23" t="str">
        <f t="shared" si="23"/>
        <v/>
      </c>
      <c r="R39" s="5" t="str">
        <f t="shared" si="28"/>
        <v/>
      </c>
      <c r="S39" s="5" t="str">
        <f t="shared" si="20"/>
        <v/>
      </c>
      <c r="T39" s="5" t="str">
        <f t="shared" si="21"/>
        <v/>
      </c>
      <c r="U39" s="4" t="str">
        <f t="shared" si="24"/>
        <v/>
      </c>
      <c r="V39" s="6" t="str">
        <f t="shared" si="25"/>
        <v/>
      </c>
      <c r="W39" s="22" t="str">
        <f t="shared" si="26"/>
        <v/>
      </c>
      <c r="X39" s="22" t="str">
        <f t="shared" si="27"/>
        <v/>
      </c>
      <c r="Y39" s="22"/>
      <c r="Z39" s="1">
        <v>36</v>
      </c>
      <c r="AA39" s="1">
        <v>1</v>
      </c>
      <c r="AB39" s="1" t="s">
        <v>38</v>
      </c>
      <c r="AC39" s="2">
        <v>44847</v>
      </c>
      <c r="AD39" s="2">
        <v>43781</v>
      </c>
      <c r="AE39" s="36">
        <v>148.61000000000001</v>
      </c>
      <c r="AF39" s="36">
        <v>144.81</v>
      </c>
      <c r="AG39" s="36">
        <v>3.8</v>
      </c>
      <c r="AJ39" s="34" t="e">
        <f t="shared" si="10"/>
        <v>#VALUE!</v>
      </c>
      <c r="AK39" s="34" t="e">
        <f t="shared" si="11"/>
        <v>#VALUE!</v>
      </c>
      <c r="AL39" s="34" t="e">
        <f t="shared" si="12"/>
        <v>#VALUE!</v>
      </c>
    </row>
    <row r="40" spans="5:38" x14ac:dyDescent="0.25">
      <c r="E40" s="25" t="str">
        <f t="shared" si="13"/>
        <v xml:space="preserve"> </v>
      </c>
      <c r="F40" s="26" t="str">
        <f t="shared" si="14"/>
        <v xml:space="preserve"> </v>
      </c>
      <c r="G40" s="27" t="str">
        <f t="shared" si="15"/>
        <v xml:space="preserve"> </v>
      </c>
      <c r="H40" s="28" t="str">
        <f t="shared" si="0"/>
        <v xml:space="preserve"> </v>
      </c>
      <c r="I40" s="3" t="str">
        <f t="shared" si="16"/>
        <v xml:space="preserve"> </v>
      </c>
      <c r="J40" s="3" t="str">
        <f t="shared" si="1"/>
        <v xml:space="preserve"> </v>
      </c>
      <c r="K40" s="3" t="str">
        <f t="shared" si="17"/>
        <v/>
      </c>
      <c r="L40" s="30" t="str">
        <f t="shared" si="2"/>
        <v/>
      </c>
      <c r="M40" s="29" t="str">
        <f t="shared" si="18"/>
        <v/>
      </c>
      <c r="N40" s="29" t="str">
        <f t="shared" si="22"/>
        <v/>
      </c>
      <c r="O40" s="29" t="str">
        <f t="shared" si="3"/>
        <v/>
      </c>
      <c r="P40" s="29" t="str">
        <f t="shared" si="4"/>
        <v/>
      </c>
      <c r="Q40" s="23" t="str">
        <f t="shared" si="23"/>
        <v/>
      </c>
      <c r="R40" s="5" t="str">
        <f t="shared" si="28"/>
        <v/>
      </c>
      <c r="S40" s="5" t="str">
        <f t="shared" si="20"/>
        <v/>
      </c>
      <c r="T40" s="5" t="str">
        <f t="shared" si="21"/>
        <v/>
      </c>
      <c r="U40" s="4" t="str">
        <f t="shared" si="24"/>
        <v xml:space="preserve"> </v>
      </c>
      <c r="V40" s="6" t="str">
        <f t="shared" si="25"/>
        <v xml:space="preserve"> </v>
      </c>
      <c r="W40" s="22" t="str">
        <f t="shared" si="26"/>
        <v/>
      </c>
      <c r="X40" s="22" t="str">
        <f t="shared" si="27"/>
        <v/>
      </c>
      <c r="Y40" s="22"/>
      <c r="AC40" s="2"/>
      <c r="AD40" s="2"/>
      <c r="AJ40" s="34"/>
      <c r="AK40" s="34"/>
      <c r="AL40" s="34"/>
    </row>
    <row r="41" spans="5:38" x14ac:dyDescent="0.25">
      <c r="E41" s="25" t="str">
        <f t="shared" si="13"/>
        <v xml:space="preserve"> </v>
      </c>
      <c r="F41" s="26" t="str">
        <f t="shared" si="14"/>
        <v xml:space="preserve"> </v>
      </c>
      <c r="G41" s="27" t="str">
        <f t="shared" si="15"/>
        <v xml:space="preserve"> </v>
      </c>
      <c r="H41" s="28" t="str">
        <f t="shared" si="0"/>
        <v xml:space="preserve"> </v>
      </c>
      <c r="I41" s="3" t="str">
        <f t="shared" si="16"/>
        <v xml:space="preserve"> </v>
      </c>
      <c r="J41" s="3" t="str">
        <f t="shared" si="1"/>
        <v xml:space="preserve"> </v>
      </c>
      <c r="K41" s="3" t="str">
        <f t="shared" si="17"/>
        <v/>
      </c>
      <c r="L41" s="30" t="str">
        <f t="shared" si="2"/>
        <v/>
      </c>
      <c r="M41" s="29" t="str">
        <f t="shared" si="18"/>
        <v/>
      </c>
      <c r="N41" s="29" t="str">
        <f t="shared" si="22"/>
        <v/>
      </c>
      <c r="O41" s="29" t="str">
        <f t="shared" si="3"/>
        <v/>
      </c>
      <c r="P41" s="29" t="str">
        <f t="shared" si="4"/>
        <v/>
      </c>
      <c r="Q41" s="23" t="str">
        <f t="shared" si="23"/>
        <v/>
      </c>
      <c r="R41" s="5" t="str">
        <f t="shared" si="28"/>
        <v/>
      </c>
      <c r="S41" s="5" t="str">
        <f t="shared" si="20"/>
        <v/>
      </c>
      <c r="T41" s="5" t="str">
        <f t="shared" si="21"/>
        <v/>
      </c>
      <c r="U41" s="4" t="str">
        <f t="shared" si="24"/>
        <v xml:space="preserve"> </v>
      </c>
      <c r="V41" s="6" t="str">
        <f t="shared" si="25"/>
        <v xml:space="preserve"> </v>
      </c>
      <c r="W41" s="22" t="str">
        <f t="shared" si="26"/>
        <v/>
      </c>
      <c r="X41" s="22" t="str">
        <f t="shared" si="27"/>
        <v/>
      </c>
      <c r="Y41" s="22"/>
      <c r="AC41" s="2"/>
      <c r="AD41" s="2"/>
      <c r="AJ41" s="34"/>
      <c r="AK41" s="34"/>
      <c r="AL41" s="34"/>
    </row>
    <row r="42" spans="5:38" x14ac:dyDescent="0.25">
      <c r="E42" s="25" t="str">
        <f t="shared" si="13"/>
        <v xml:space="preserve"> </v>
      </c>
      <c r="F42" s="26" t="str">
        <f t="shared" si="14"/>
        <v xml:space="preserve"> </v>
      </c>
      <c r="G42" s="27" t="str">
        <f t="shared" si="15"/>
        <v xml:space="preserve"> </v>
      </c>
      <c r="H42" s="28" t="str">
        <f t="shared" si="0"/>
        <v xml:space="preserve"> </v>
      </c>
      <c r="I42" s="3" t="str">
        <f t="shared" si="16"/>
        <v xml:space="preserve"> </v>
      </c>
      <c r="J42" s="3" t="str">
        <f t="shared" si="1"/>
        <v xml:space="preserve"> </v>
      </c>
      <c r="K42" s="3" t="str">
        <f t="shared" si="17"/>
        <v/>
      </c>
      <c r="L42" s="30" t="str">
        <f t="shared" si="2"/>
        <v/>
      </c>
      <c r="M42" s="29" t="str">
        <f t="shared" si="18"/>
        <v/>
      </c>
      <c r="N42" s="29" t="str">
        <f t="shared" si="22"/>
        <v/>
      </c>
      <c r="O42" s="29" t="str">
        <f t="shared" si="3"/>
        <v/>
      </c>
      <c r="P42" s="29" t="str">
        <f t="shared" si="4"/>
        <v/>
      </c>
      <c r="Q42" s="23" t="str">
        <f t="shared" si="23"/>
        <v/>
      </c>
      <c r="R42" s="5" t="str">
        <f t="shared" si="28"/>
        <v/>
      </c>
      <c r="S42" s="5" t="str">
        <f t="shared" si="20"/>
        <v/>
      </c>
      <c r="T42" s="5" t="str">
        <f t="shared" si="21"/>
        <v/>
      </c>
      <c r="U42" s="4" t="str">
        <f t="shared" si="24"/>
        <v xml:space="preserve"> </v>
      </c>
      <c r="V42" s="6" t="str">
        <f t="shared" si="25"/>
        <v xml:space="preserve"> </v>
      </c>
      <c r="W42" s="22" t="str">
        <f t="shared" si="26"/>
        <v/>
      </c>
      <c r="X42" s="22" t="str">
        <f t="shared" si="27"/>
        <v/>
      </c>
      <c r="Y42" s="22"/>
      <c r="AC42" s="2"/>
      <c r="AD42" s="2"/>
      <c r="AJ42" s="34"/>
      <c r="AK42" s="34"/>
      <c r="AL42" s="34"/>
    </row>
    <row r="43" spans="5:38" x14ac:dyDescent="0.25">
      <c r="E43" s="25" t="str">
        <f t="shared" si="13"/>
        <v xml:space="preserve"> </v>
      </c>
      <c r="F43" s="26" t="str">
        <f t="shared" si="14"/>
        <v xml:space="preserve"> </v>
      </c>
      <c r="G43" s="27" t="str">
        <f t="shared" si="15"/>
        <v xml:space="preserve"> </v>
      </c>
      <c r="H43" s="28" t="str">
        <f t="shared" si="0"/>
        <v xml:space="preserve"> </v>
      </c>
      <c r="I43" s="3" t="str">
        <f t="shared" si="16"/>
        <v xml:space="preserve"> </v>
      </c>
      <c r="J43" s="3" t="str">
        <f t="shared" si="1"/>
        <v xml:space="preserve"> </v>
      </c>
      <c r="K43" s="3" t="str">
        <f t="shared" si="17"/>
        <v/>
      </c>
      <c r="L43" s="30" t="str">
        <f t="shared" si="2"/>
        <v/>
      </c>
      <c r="M43" s="29" t="str">
        <f t="shared" si="18"/>
        <v/>
      </c>
      <c r="N43" s="29" t="str">
        <f t="shared" si="22"/>
        <v/>
      </c>
      <c r="O43" s="29" t="str">
        <f t="shared" si="3"/>
        <v/>
      </c>
      <c r="P43" s="29" t="str">
        <f t="shared" si="4"/>
        <v/>
      </c>
      <c r="Q43" s="23" t="str">
        <f t="shared" si="23"/>
        <v/>
      </c>
      <c r="R43" s="5" t="str">
        <f t="shared" si="28"/>
        <v/>
      </c>
      <c r="S43" s="5" t="str">
        <f t="shared" si="20"/>
        <v/>
      </c>
      <c r="T43" s="5" t="str">
        <f t="shared" si="21"/>
        <v/>
      </c>
      <c r="U43" s="4" t="str">
        <f t="shared" si="24"/>
        <v xml:space="preserve"> </v>
      </c>
      <c r="V43" s="6" t="str">
        <f t="shared" si="25"/>
        <v xml:space="preserve"> </v>
      </c>
      <c r="W43" s="22" t="str">
        <f t="shared" si="26"/>
        <v/>
      </c>
      <c r="X43" s="22" t="str">
        <f t="shared" si="27"/>
        <v/>
      </c>
      <c r="Y43" s="22"/>
      <c r="AC43" s="2"/>
      <c r="AD43" s="2"/>
      <c r="AJ43" s="34"/>
      <c r="AK43" s="34"/>
      <c r="AL43" s="34"/>
    </row>
    <row r="44" spans="5:38" x14ac:dyDescent="0.25">
      <c r="E44" s="25" t="str">
        <f t="shared" si="13"/>
        <v xml:space="preserve"> </v>
      </c>
      <c r="F44" s="26" t="str">
        <f t="shared" si="14"/>
        <v xml:space="preserve"> </v>
      </c>
      <c r="G44" s="27" t="str">
        <f t="shared" si="15"/>
        <v xml:space="preserve"> </v>
      </c>
      <c r="H44" s="28" t="str">
        <f t="shared" si="0"/>
        <v xml:space="preserve"> </v>
      </c>
      <c r="I44" s="3" t="str">
        <f t="shared" si="16"/>
        <v xml:space="preserve"> </v>
      </c>
      <c r="J44" s="3" t="str">
        <f t="shared" si="1"/>
        <v xml:space="preserve"> </v>
      </c>
      <c r="K44" s="3" t="str">
        <f t="shared" si="17"/>
        <v/>
      </c>
      <c r="L44" s="30" t="str">
        <f t="shared" si="2"/>
        <v/>
      </c>
      <c r="M44" s="29" t="str">
        <f t="shared" si="18"/>
        <v/>
      </c>
      <c r="N44" s="29" t="str">
        <f t="shared" si="22"/>
        <v/>
      </c>
      <c r="O44" s="29" t="str">
        <f t="shared" si="3"/>
        <v/>
      </c>
      <c r="P44" s="29" t="str">
        <f t="shared" si="4"/>
        <v/>
      </c>
      <c r="Q44" s="23" t="str">
        <f t="shared" si="23"/>
        <v/>
      </c>
      <c r="R44" s="5" t="str">
        <f t="shared" si="28"/>
        <v/>
      </c>
      <c r="S44" s="5" t="str">
        <f t="shared" si="20"/>
        <v/>
      </c>
      <c r="T44" s="5" t="str">
        <f t="shared" si="21"/>
        <v/>
      </c>
      <c r="U44" s="4" t="str">
        <f t="shared" si="24"/>
        <v xml:space="preserve"> </v>
      </c>
      <c r="V44" s="6" t="str">
        <f t="shared" si="25"/>
        <v xml:space="preserve"> </v>
      </c>
      <c r="W44" s="22" t="str">
        <f t="shared" si="26"/>
        <v/>
      </c>
      <c r="X44" s="22" t="str">
        <f t="shared" si="27"/>
        <v/>
      </c>
      <c r="Y44" s="22"/>
      <c r="AC44" s="2"/>
      <c r="AD44" s="2"/>
      <c r="AJ44" s="34"/>
      <c r="AK44" s="34"/>
      <c r="AL44" s="34"/>
    </row>
    <row r="45" spans="5:38" x14ac:dyDescent="0.25">
      <c r="E45" s="25" t="str">
        <f t="shared" si="13"/>
        <v xml:space="preserve"> </v>
      </c>
      <c r="F45" s="26" t="str">
        <f t="shared" si="14"/>
        <v xml:space="preserve"> </v>
      </c>
      <c r="G45" s="27" t="str">
        <f t="shared" si="15"/>
        <v xml:space="preserve"> </v>
      </c>
      <c r="H45" s="28" t="str">
        <f t="shared" si="0"/>
        <v xml:space="preserve"> </v>
      </c>
      <c r="I45" s="3" t="str">
        <f t="shared" si="16"/>
        <v xml:space="preserve"> </v>
      </c>
      <c r="J45" s="3" t="str">
        <f t="shared" si="1"/>
        <v xml:space="preserve"> </v>
      </c>
      <c r="K45" s="3" t="str">
        <f t="shared" si="17"/>
        <v/>
      </c>
      <c r="L45" s="30" t="str">
        <f t="shared" si="2"/>
        <v/>
      </c>
      <c r="M45" s="29" t="str">
        <f t="shared" si="18"/>
        <v/>
      </c>
      <c r="N45" s="29" t="str">
        <f t="shared" si="22"/>
        <v/>
      </c>
      <c r="O45" s="29" t="str">
        <f t="shared" si="3"/>
        <v/>
      </c>
      <c r="P45" s="29" t="str">
        <f t="shared" si="4"/>
        <v/>
      </c>
      <c r="Q45" s="23" t="str">
        <f t="shared" si="23"/>
        <v/>
      </c>
      <c r="R45" s="5" t="str">
        <f t="shared" si="28"/>
        <v/>
      </c>
      <c r="S45" s="5" t="str">
        <f t="shared" si="20"/>
        <v/>
      </c>
      <c r="T45" s="5" t="str">
        <f t="shared" si="21"/>
        <v/>
      </c>
      <c r="U45" s="4" t="str">
        <f t="shared" si="24"/>
        <v xml:space="preserve"> </v>
      </c>
      <c r="V45" s="6" t="str">
        <f t="shared" si="25"/>
        <v xml:space="preserve"> </v>
      </c>
      <c r="W45" s="22" t="str">
        <f t="shared" si="26"/>
        <v/>
      </c>
      <c r="X45" s="22" t="str">
        <f t="shared" si="27"/>
        <v/>
      </c>
      <c r="Y45" s="22"/>
      <c r="AC45" s="2"/>
      <c r="AD45" s="2"/>
      <c r="AJ45" s="34"/>
      <c r="AK45" s="34"/>
      <c r="AL45" s="34"/>
    </row>
    <row r="46" spans="5:38" x14ac:dyDescent="0.25">
      <c r="E46" s="25" t="str">
        <f t="shared" si="13"/>
        <v xml:space="preserve"> </v>
      </c>
      <c r="F46" s="26" t="str">
        <f t="shared" si="14"/>
        <v xml:space="preserve"> </v>
      </c>
      <c r="G46" s="27" t="str">
        <f t="shared" si="15"/>
        <v xml:space="preserve"> </v>
      </c>
      <c r="H46" s="28" t="str">
        <f t="shared" si="0"/>
        <v xml:space="preserve"> </v>
      </c>
      <c r="I46" s="3" t="str">
        <f t="shared" si="16"/>
        <v xml:space="preserve"> </v>
      </c>
      <c r="J46" s="3" t="str">
        <f t="shared" si="1"/>
        <v xml:space="preserve"> </v>
      </c>
      <c r="K46" s="3" t="str">
        <f t="shared" si="17"/>
        <v/>
      </c>
      <c r="L46" s="30" t="str">
        <f t="shared" si="2"/>
        <v/>
      </c>
      <c r="M46" s="29" t="str">
        <f t="shared" si="18"/>
        <v/>
      </c>
      <c r="N46" s="29" t="str">
        <f t="shared" si="22"/>
        <v/>
      </c>
      <c r="O46" s="29" t="str">
        <f t="shared" si="3"/>
        <v/>
      </c>
      <c r="P46" s="29" t="str">
        <f t="shared" si="4"/>
        <v/>
      </c>
      <c r="Q46" s="23" t="str">
        <f t="shared" si="23"/>
        <v/>
      </c>
      <c r="R46" s="5" t="str">
        <f t="shared" si="28"/>
        <v/>
      </c>
      <c r="S46" s="5" t="str">
        <f t="shared" si="20"/>
        <v/>
      </c>
      <c r="T46" s="5" t="str">
        <f t="shared" si="21"/>
        <v/>
      </c>
      <c r="U46" s="4" t="str">
        <f t="shared" si="24"/>
        <v xml:space="preserve"> </v>
      </c>
      <c r="V46" s="6" t="str">
        <f t="shared" si="25"/>
        <v xml:space="preserve"> </v>
      </c>
      <c r="W46" s="22" t="str">
        <f t="shared" si="26"/>
        <v/>
      </c>
      <c r="X46" s="22" t="str">
        <f t="shared" si="27"/>
        <v/>
      </c>
      <c r="Y46" s="22"/>
      <c r="AC46" s="2"/>
      <c r="AD46" s="2"/>
      <c r="AJ46" s="34"/>
      <c r="AK46" s="34"/>
      <c r="AL46" s="34"/>
    </row>
    <row r="47" spans="5:38" x14ac:dyDescent="0.25">
      <c r="E47" s="25" t="str">
        <f t="shared" si="13"/>
        <v xml:space="preserve"> </v>
      </c>
      <c r="F47" s="26" t="str">
        <f t="shared" si="14"/>
        <v xml:space="preserve"> </v>
      </c>
      <c r="G47" s="27" t="str">
        <f t="shared" si="15"/>
        <v xml:space="preserve"> </v>
      </c>
      <c r="H47" s="28" t="str">
        <f t="shared" si="0"/>
        <v xml:space="preserve"> </v>
      </c>
      <c r="I47" s="3" t="str">
        <f t="shared" si="16"/>
        <v xml:space="preserve"> </v>
      </c>
      <c r="J47" s="3" t="str">
        <f t="shared" si="1"/>
        <v xml:space="preserve"> </v>
      </c>
      <c r="K47" s="3" t="str">
        <f t="shared" si="17"/>
        <v/>
      </c>
      <c r="L47" s="30" t="str">
        <f t="shared" si="2"/>
        <v/>
      </c>
      <c r="M47" s="29" t="str">
        <f t="shared" si="18"/>
        <v/>
      </c>
      <c r="N47" s="29" t="str">
        <f t="shared" si="22"/>
        <v/>
      </c>
      <c r="O47" s="29" t="str">
        <f t="shared" si="3"/>
        <v/>
      </c>
      <c r="P47" s="29" t="str">
        <f t="shared" si="4"/>
        <v/>
      </c>
      <c r="Q47" s="23" t="str">
        <f t="shared" si="23"/>
        <v/>
      </c>
      <c r="R47" s="5" t="str">
        <f t="shared" si="28"/>
        <v/>
      </c>
      <c r="S47" s="5" t="str">
        <f t="shared" si="20"/>
        <v/>
      </c>
      <c r="T47" s="5" t="str">
        <f t="shared" si="21"/>
        <v/>
      </c>
      <c r="U47" s="4" t="str">
        <f t="shared" si="24"/>
        <v xml:space="preserve"> </v>
      </c>
      <c r="V47" s="6" t="str">
        <f t="shared" si="25"/>
        <v xml:space="preserve"> </v>
      </c>
      <c r="W47" s="22" t="str">
        <f t="shared" si="26"/>
        <v/>
      </c>
      <c r="X47" s="22" t="str">
        <f t="shared" si="27"/>
        <v/>
      </c>
      <c r="Y47" s="22"/>
      <c r="AC47" s="2"/>
      <c r="AD47" s="2"/>
      <c r="AJ47" s="34"/>
      <c r="AK47" s="34"/>
      <c r="AL47" s="34"/>
    </row>
    <row r="48" spans="5:38" x14ac:dyDescent="0.25">
      <c r="E48" s="25" t="str">
        <f t="shared" si="13"/>
        <v xml:space="preserve"> </v>
      </c>
      <c r="F48" s="26" t="str">
        <f t="shared" si="14"/>
        <v xml:space="preserve"> </v>
      </c>
      <c r="G48" s="27" t="str">
        <f t="shared" si="15"/>
        <v xml:space="preserve"> </v>
      </c>
      <c r="H48" s="28" t="str">
        <f t="shared" si="0"/>
        <v xml:space="preserve"> </v>
      </c>
      <c r="I48" s="3" t="str">
        <f t="shared" si="16"/>
        <v xml:space="preserve"> </v>
      </c>
      <c r="J48" s="3" t="str">
        <f t="shared" si="1"/>
        <v xml:space="preserve"> </v>
      </c>
      <c r="K48" s="3" t="str">
        <f t="shared" si="17"/>
        <v/>
      </c>
      <c r="L48" s="30" t="str">
        <f t="shared" si="2"/>
        <v/>
      </c>
      <c r="M48" s="29" t="str">
        <f t="shared" si="18"/>
        <v/>
      </c>
      <c r="N48" s="29" t="str">
        <f t="shared" si="22"/>
        <v/>
      </c>
      <c r="O48" s="29" t="str">
        <f t="shared" si="3"/>
        <v/>
      </c>
      <c r="P48" s="29" t="str">
        <f t="shared" si="4"/>
        <v/>
      </c>
      <c r="Q48" s="23" t="str">
        <f t="shared" si="23"/>
        <v/>
      </c>
      <c r="R48" s="5" t="str">
        <f t="shared" si="28"/>
        <v/>
      </c>
      <c r="S48" s="5" t="str">
        <f t="shared" si="20"/>
        <v/>
      </c>
      <c r="T48" s="5" t="str">
        <f t="shared" si="21"/>
        <v/>
      </c>
      <c r="U48" s="4" t="str">
        <f t="shared" si="24"/>
        <v xml:space="preserve"> </v>
      </c>
      <c r="V48" s="6" t="str">
        <f t="shared" si="25"/>
        <v xml:space="preserve"> </v>
      </c>
      <c r="W48" s="22" t="str">
        <f t="shared" si="26"/>
        <v/>
      </c>
      <c r="X48" s="22" t="str">
        <f t="shared" si="27"/>
        <v/>
      </c>
      <c r="Y48" s="22"/>
      <c r="AC48" s="2"/>
      <c r="AD48" s="2"/>
      <c r="AJ48" s="34"/>
      <c r="AK48" s="34"/>
      <c r="AL48" s="34"/>
    </row>
    <row r="49" spans="5:38" x14ac:dyDescent="0.25">
      <c r="E49" s="25" t="str">
        <f t="shared" si="13"/>
        <v xml:space="preserve"> </v>
      </c>
      <c r="F49" s="26" t="str">
        <f t="shared" si="14"/>
        <v xml:space="preserve"> </v>
      </c>
      <c r="G49" s="27" t="str">
        <f t="shared" si="15"/>
        <v xml:space="preserve"> </v>
      </c>
      <c r="H49" s="28" t="str">
        <f t="shared" si="0"/>
        <v xml:space="preserve"> </v>
      </c>
      <c r="I49" s="3" t="str">
        <f t="shared" si="16"/>
        <v xml:space="preserve"> </v>
      </c>
      <c r="J49" s="3" t="str">
        <f t="shared" si="1"/>
        <v xml:space="preserve"> </v>
      </c>
      <c r="K49" s="3" t="str">
        <f t="shared" si="17"/>
        <v/>
      </c>
      <c r="L49" s="30" t="str">
        <f t="shared" si="2"/>
        <v/>
      </c>
      <c r="M49" s="29" t="str">
        <f t="shared" si="18"/>
        <v/>
      </c>
      <c r="N49" s="29" t="str">
        <f t="shared" si="22"/>
        <v/>
      </c>
      <c r="O49" s="29" t="str">
        <f t="shared" si="3"/>
        <v/>
      </c>
      <c r="P49" s="29" t="str">
        <f t="shared" si="4"/>
        <v/>
      </c>
      <c r="Q49" s="23" t="str">
        <f t="shared" si="23"/>
        <v/>
      </c>
      <c r="R49" s="5" t="str">
        <f t="shared" si="28"/>
        <v/>
      </c>
      <c r="S49" s="5" t="str">
        <f t="shared" si="20"/>
        <v/>
      </c>
      <c r="T49" s="5" t="str">
        <f t="shared" si="21"/>
        <v/>
      </c>
      <c r="U49" s="4" t="str">
        <f t="shared" si="24"/>
        <v xml:space="preserve"> </v>
      </c>
      <c r="V49" s="6" t="str">
        <f t="shared" si="25"/>
        <v xml:space="preserve"> </v>
      </c>
      <c r="W49" s="22" t="str">
        <f t="shared" si="26"/>
        <v/>
      </c>
      <c r="X49" s="22" t="str">
        <f t="shared" si="27"/>
        <v/>
      </c>
      <c r="Y49" s="22"/>
      <c r="AC49" s="2"/>
      <c r="AD49" s="2"/>
      <c r="AJ49" s="34"/>
      <c r="AK49" s="34"/>
      <c r="AL49" s="34"/>
    </row>
    <row r="50" spans="5:38" x14ac:dyDescent="0.25">
      <c r="E50" s="25" t="str">
        <f t="shared" si="13"/>
        <v xml:space="preserve"> </v>
      </c>
      <c r="F50" s="26" t="str">
        <f t="shared" si="14"/>
        <v xml:space="preserve"> </v>
      </c>
      <c r="G50" s="27" t="str">
        <f t="shared" si="15"/>
        <v xml:space="preserve"> </v>
      </c>
      <c r="H50" s="28" t="str">
        <f t="shared" si="0"/>
        <v xml:space="preserve"> </v>
      </c>
      <c r="I50" s="3" t="str">
        <f t="shared" si="16"/>
        <v xml:space="preserve"> </v>
      </c>
      <c r="J50" s="3" t="str">
        <f t="shared" si="1"/>
        <v xml:space="preserve"> </v>
      </c>
      <c r="K50" s="3" t="str">
        <f t="shared" si="17"/>
        <v/>
      </c>
      <c r="L50" s="30" t="str">
        <f t="shared" si="2"/>
        <v/>
      </c>
      <c r="M50" s="29" t="str">
        <f t="shared" si="18"/>
        <v/>
      </c>
      <c r="N50" s="29" t="str">
        <f t="shared" si="22"/>
        <v/>
      </c>
      <c r="O50" s="29" t="str">
        <f t="shared" si="3"/>
        <v/>
      </c>
      <c r="P50" s="29" t="str">
        <f t="shared" si="4"/>
        <v/>
      </c>
      <c r="Q50" s="23" t="str">
        <f t="shared" si="23"/>
        <v/>
      </c>
      <c r="R50" s="5" t="str">
        <f t="shared" si="28"/>
        <v/>
      </c>
      <c r="S50" s="5" t="str">
        <f t="shared" si="20"/>
        <v/>
      </c>
      <c r="T50" s="5" t="str">
        <f t="shared" si="21"/>
        <v/>
      </c>
      <c r="U50" s="4" t="str">
        <f t="shared" si="24"/>
        <v xml:space="preserve"> </v>
      </c>
      <c r="V50" s="6" t="str">
        <f t="shared" si="25"/>
        <v xml:space="preserve"> </v>
      </c>
      <c r="W50" s="22" t="str">
        <f t="shared" si="26"/>
        <v/>
      </c>
      <c r="X50" s="22" t="str">
        <f t="shared" si="27"/>
        <v/>
      </c>
      <c r="Y50" s="22"/>
      <c r="AC50" s="2"/>
      <c r="AD50" s="2"/>
      <c r="AJ50" s="34"/>
      <c r="AK50" s="34"/>
      <c r="AL50" s="34"/>
    </row>
    <row r="51" spans="5:38" x14ac:dyDescent="0.25">
      <c r="E51" s="25" t="str">
        <f t="shared" si="13"/>
        <v xml:space="preserve"> </v>
      </c>
      <c r="F51" s="26" t="str">
        <f t="shared" si="14"/>
        <v xml:space="preserve"> </v>
      </c>
      <c r="G51" s="27" t="str">
        <f t="shared" si="15"/>
        <v xml:space="preserve"> </v>
      </c>
      <c r="H51" s="28" t="str">
        <f t="shared" si="0"/>
        <v xml:space="preserve"> </v>
      </c>
      <c r="I51" s="3" t="str">
        <f t="shared" si="16"/>
        <v xml:space="preserve"> </v>
      </c>
      <c r="J51" s="3" t="str">
        <f t="shared" si="1"/>
        <v xml:space="preserve"> </v>
      </c>
      <c r="K51" s="3" t="str">
        <f t="shared" si="17"/>
        <v/>
      </c>
      <c r="L51" s="30" t="str">
        <f t="shared" si="2"/>
        <v/>
      </c>
      <c r="M51" s="29" t="str">
        <f t="shared" si="18"/>
        <v/>
      </c>
      <c r="N51" s="29" t="str">
        <f t="shared" si="22"/>
        <v/>
      </c>
      <c r="O51" s="29" t="str">
        <f t="shared" si="3"/>
        <v/>
      </c>
      <c r="P51" s="29" t="str">
        <f t="shared" si="4"/>
        <v/>
      </c>
      <c r="Q51" s="23" t="str">
        <f t="shared" si="23"/>
        <v/>
      </c>
      <c r="R51" s="5" t="str">
        <f t="shared" si="28"/>
        <v/>
      </c>
      <c r="S51" s="5" t="str">
        <f t="shared" si="20"/>
        <v/>
      </c>
      <c r="T51" s="5" t="str">
        <f t="shared" si="21"/>
        <v/>
      </c>
      <c r="U51" s="4" t="str">
        <f t="shared" si="24"/>
        <v xml:space="preserve"> </v>
      </c>
      <c r="V51" s="6" t="str">
        <f t="shared" si="25"/>
        <v xml:space="preserve"> </v>
      </c>
      <c r="W51" s="22" t="str">
        <f t="shared" si="26"/>
        <v/>
      </c>
      <c r="X51" s="22" t="str">
        <f t="shared" si="27"/>
        <v/>
      </c>
      <c r="Y51" s="22"/>
      <c r="AC51" s="2"/>
      <c r="AD51" s="2"/>
      <c r="AJ51" s="34"/>
      <c r="AK51" s="34"/>
      <c r="AL51" s="34"/>
    </row>
    <row r="52" spans="5:38" x14ac:dyDescent="0.25">
      <c r="E52" s="25" t="str">
        <f t="shared" si="13"/>
        <v xml:space="preserve"> </v>
      </c>
      <c r="F52" s="26" t="str">
        <f t="shared" si="14"/>
        <v xml:space="preserve"> </v>
      </c>
      <c r="G52" s="27" t="str">
        <f t="shared" si="15"/>
        <v xml:space="preserve"> </v>
      </c>
      <c r="H52" s="28" t="str">
        <f t="shared" si="0"/>
        <v xml:space="preserve"> </v>
      </c>
      <c r="I52" s="3" t="str">
        <f t="shared" si="16"/>
        <v xml:space="preserve"> </v>
      </c>
      <c r="J52" s="3" t="str">
        <f t="shared" si="1"/>
        <v xml:space="preserve"> </v>
      </c>
      <c r="K52" s="3" t="str">
        <f t="shared" si="17"/>
        <v/>
      </c>
      <c r="L52" s="30" t="str">
        <f t="shared" si="2"/>
        <v/>
      </c>
      <c r="M52" s="29" t="str">
        <f t="shared" si="18"/>
        <v/>
      </c>
      <c r="N52" s="29" t="str">
        <f t="shared" si="22"/>
        <v/>
      </c>
      <c r="O52" s="29" t="str">
        <f t="shared" si="3"/>
        <v/>
      </c>
      <c r="P52" s="29" t="str">
        <f t="shared" si="4"/>
        <v/>
      </c>
      <c r="Q52" s="23" t="str">
        <f t="shared" si="23"/>
        <v/>
      </c>
      <c r="R52" s="5" t="str">
        <f t="shared" si="28"/>
        <v/>
      </c>
      <c r="S52" s="5" t="str">
        <f t="shared" si="20"/>
        <v/>
      </c>
      <c r="T52" s="5" t="str">
        <f t="shared" si="21"/>
        <v/>
      </c>
      <c r="U52" s="4" t="str">
        <f t="shared" si="24"/>
        <v xml:space="preserve"> </v>
      </c>
      <c r="V52" s="6" t="str">
        <f t="shared" si="25"/>
        <v xml:space="preserve"> </v>
      </c>
      <c r="W52" s="22" t="str">
        <f t="shared" si="26"/>
        <v/>
      </c>
      <c r="X52" s="22" t="str">
        <f t="shared" si="27"/>
        <v/>
      </c>
      <c r="Y52" s="22"/>
      <c r="AC52" s="2"/>
      <c r="AD52" s="2"/>
      <c r="AJ52" s="34"/>
      <c r="AK52" s="34"/>
      <c r="AL52" s="34"/>
    </row>
    <row r="53" spans="5:38" x14ac:dyDescent="0.25">
      <c r="E53" s="25" t="str">
        <f t="shared" si="13"/>
        <v xml:space="preserve"> </v>
      </c>
      <c r="F53" s="26" t="str">
        <f t="shared" si="14"/>
        <v xml:space="preserve"> </v>
      </c>
      <c r="G53" s="27" t="str">
        <f t="shared" si="15"/>
        <v xml:space="preserve"> </v>
      </c>
      <c r="H53" s="28" t="str">
        <f t="shared" si="0"/>
        <v xml:space="preserve"> </v>
      </c>
      <c r="I53" s="3" t="str">
        <f t="shared" si="16"/>
        <v xml:space="preserve"> </v>
      </c>
      <c r="J53" s="3" t="str">
        <f t="shared" si="1"/>
        <v xml:space="preserve"> </v>
      </c>
      <c r="K53" s="3" t="str">
        <f t="shared" si="17"/>
        <v/>
      </c>
      <c r="L53" s="30" t="str">
        <f t="shared" si="2"/>
        <v/>
      </c>
      <c r="M53" s="29" t="str">
        <f t="shared" si="18"/>
        <v/>
      </c>
      <c r="N53" s="29" t="str">
        <f t="shared" si="22"/>
        <v/>
      </c>
      <c r="O53" s="29" t="str">
        <f t="shared" si="3"/>
        <v/>
      </c>
      <c r="P53" s="29" t="str">
        <f t="shared" si="4"/>
        <v/>
      </c>
      <c r="Q53" s="23" t="str">
        <f t="shared" si="23"/>
        <v/>
      </c>
      <c r="R53" s="5" t="str">
        <f t="shared" si="28"/>
        <v/>
      </c>
      <c r="S53" s="5" t="str">
        <f t="shared" si="20"/>
        <v/>
      </c>
      <c r="T53" s="5" t="str">
        <f t="shared" si="21"/>
        <v/>
      </c>
      <c r="U53" s="4" t="str">
        <f t="shared" si="24"/>
        <v xml:space="preserve"> </v>
      </c>
      <c r="V53" s="6" t="str">
        <f t="shared" si="25"/>
        <v xml:space="preserve"> </v>
      </c>
      <c r="W53" s="22" t="str">
        <f t="shared" si="26"/>
        <v/>
      </c>
      <c r="X53" s="22" t="str">
        <f t="shared" si="27"/>
        <v/>
      </c>
      <c r="Y53" s="22"/>
      <c r="AC53" s="2"/>
      <c r="AD53" s="2"/>
      <c r="AJ53" s="34"/>
      <c r="AK53" s="34"/>
      <c r="AL53" s="34"/>
    </row>
    <row r="54" spans="5:38" x14ac:dyDescent="0.25">
      <c r="E54" s="25" t="str">
        <f t="shared" si="13"/>
        <v xml:space="preserve"> </v>
      </c>
      <c r="F54" s="26" t="str">
        <f t="shared" si="14"/>
        <v xml:space="preserve"> </v>
      </c>
      <c r="G54" s="27" t="str">
        <f t="shared" si="15"/>
        <v xml:space="preserve"> </v>
      </c>
      <c r="H54" s="28" t="str">
        <f t="shared" si="0"/>
        <v xml:space="preserve"> </v>
      </c>
      <c r="I54" s="3" t="str">
        <f t="shared" si="16"/>
        <v xml:space="preserve"> </v>
      </c>
      <c r="J54" s="3" t="str">
        <f t="shared" si="1"/>
        <v xml:space="preserve"> </v>
      </c>
      <c r="K54" s="3" t="str">
        <f t="shared" si="17"/>
        <v/>
      </c>
      <c r="L54" s="30" t="str">
        <f t="shared" si="2"/>
        <v/>
      </c>
      <c r="M54" s="29" t="str">
        <f t="shared" si="18"/>
        <v/>
      </c>
      <c r="N54" s="29" t="str">
        <f t="shared" si="22"/>
        <v/>
      </c>
      <c r="O54" s="29" t="str">
        <f t="shared" si="3"/>
        <v/>
      </c>
      <c r="P54" s="29" t="str">
        <f t="shared" si="4"/>
        <v/>
      </c>
      <c r="Q54" s="23" t="str">
        <f t="shared" si="23"/>
        <v/>
      </c>
      <c r="R54" s="5" t="str">
        <f t="shared" si="28"/>
        <v/>
      </c>
      <c r="S54" s="5" t="str">
        <f t="shared" si="20"/>
        <v/>
      </c>
      <c r="T54" s="5" t="str">
        <f t="shared" si="21"/>
        <v/>
      </c>
      <c r="U54" s="4" t="str">
        <f t="shared" si="24"/>
        <v xml:space="preserve"> </v>
      </c>
      <c r="V54" s="6" t="str">
        <f t="shared" si="25"/>
        <v xml:space="preserve"> </v>
      </c>
      <c r="W54" s="22" t="str">
        <f t="shared" si="26"/>
        <v/>
      </c>
      <c r="X54" s="22" t="str">
        <f t="shared" si="27"/>
        <v/>
      </c>
      <c r="Y54" s="22"/>
      <c r="AC54" s="2"/>
      <c r="AD54" s="2"/>
      <c r="AJ54" s="34"/>
      <c r="AK54" s="34"/>
      <c r="AL54" s="34"/>
    </row>
    <row r="55" spans="5:38" x14ac:dyDescent="0.25">
      <c r="E55" s="25" t="str">
        <f t="shared" si="13"/>
        <v xml:space="preserve"> </v>
      </c>
      <c r="F55" s="26" t="str">
        <f t="shared" si="14"/>
        <v xml:space="preserve"> </v>
      </c>
      <c r="G55" s="27" t="str">
        <f t="shared" si="15"/>
        <v xml:space="preserve"> </v>
      </c>
      <c r="H55" s="28" t="str">
        <f t="shared" si="0"/>
        <v xml:space="preserve"> </v>
      </c>
      <c r="I55" s="3" t="str">
        <f t="shared" si="16"/>
        <v xml:space="preserve"> </v>
      </c>
      <c r="J55" s="3" t="str">
        <f t="shared" si="1"/>
        <v xml:space="preserve"> </v>
      </c>
      <c r="K55" s="3" t="str">
        <f t="shared" si="17"/>
        <v/>
      </c>
      <c r="L55" s="30" t="str">
        <f t="shared" si="2"/>
        <v/>
      </c>
      <c r="M55" s="29" t="str">
        <f t="shared" si="18"/>
        <v/>
      </c>
      <c r="N55" s="29" t="str">
        <f t="shared" si="22"/>
        <v/>
      </c>
      <c r="O55" s="29" t="str">
        <f t="shared" si="3"/>
        <v/>
      </c>
      <c r="P55" s="29" t="str">
        <f t="shared" si="4"/>
        <v/>
      </c>
      <c r="Q55" s="23" t="str">
        <f t="shared" si="23"/>
        <v/>
      </c>
      <c r="R55" s="5" t="str">
        <f t="shared" si="28"/>
        <v/>
      </c>
      <c r="S55" s="5" t="str">
        <f t="shared" si="20"/>
        <v/>
      </c>
      <c r="T55" s="5" t="str">
        <f t="shared" si="21"/>
        <v/>
      </c>
      <c r="U55" s="4" t="str">
        <f t="shared" si="24"/>
        <v xml:space="preserve"> </v>
      </c>
      <c r="V55" s="6" t="str">
        <f t="shared" si="25"/>
        <v xml:space="preserve"> </v>
      </c>
      <c r="W55" s="22" t="str">
        <f t="shared" si="26"/>
        <v/>
      </c>
      <c r="X55" s="22" t="str">
        <f t="shared" si="27"/>
        <v/>
      </c>
      <c r="Y55" s="22"/>
      <c r="AC55" s="2"/>
      <c r="AD55" s="2"/>
      <c r="AJ55" s="34"/>
      <c r="AK55" s="34"/>
      <c r="AL55" s="34"/>
    </row>
    <row r="56" spans="5:38" x14ac:dyDescent="0.25">
      <c r="E56" s="25" t="str">
        <f t="shared" si="13"/>
        <v xml:space="preserve"> </v>
      </c>
      <c r="F56" s="26" t="str">
        <f t="shared" si="14"/>
        <v xml:space="preserve"> </v>
      </c>
      <c r="G56" s="27" t="str">
        <f t="shared" si="15"/>
        <v xml:space="preserve"> </v>
      </c>
      <c r="H56" s="28" t="str">
        <f t="shared" si="0"/>
        <v xml:space="preserve"> </v>
      </c>
      <c r="I56" s="3" t="str">
        <f t="shared" si="16"/>
        <v xml:space="preserve"> </v>
      </c>
      <c r="J56" s="3" t="str">
        <f t="shared" si="1"/>
        <v xml:space="preserve"> </v>
      </c>
      <c r="K56" s="3" t="str">
        <f t="shared" si="17"/>
        <v/>
      </c>
      <c r="L56" s="30" t="str">
        <f t="shared" si="2"/>
        <v/>
      </c>
      <c r="M56" s="29" t="str">
        <f t="shared" si="18"/>
        <v/>
      </c>
      <c r="N56" s="29" t="str">
        <f t="shared" si="22"/>
        <v/>
      </c>
      <c r="O56" s="29" t="str">
        <f t="shared" si="3"/>
        <v/>
      </c>
      <c r="P56" s="29" t="str">
        <f t="shared" si="4"/>
        <v/>
      </c>
      <c r="Q56" s="23" t="str">
        <f t="shared" si="23"/>
        <v/>
      </c>
      <c r="R56" s="5" t="str">
        <f t="shared" si="28"/>
        <v/>
      </c>
      <c r="S56" s="5" t="str">
        <f t="shared" si="20"/>
        <v/>
      </c>
      <c r="T56" s="5" t="str">
        <f t="shared" si="21"/>
        <v/>
      </c>
      <c r="U56" s="4" t="str">
        <f t="shared" si="24"/>
        <v xml:space="preserve"> </v>
      </c>
      <c r="V56" s="6" t="str">
        <f t="shared" si="25"/>
        <v xml:space="preserve"> </v>
      </c>
      <c r="W56" s="22" t="str">
        <f t="shared" si="26"/>
        <v/>
      </c>
      <c r="X56" s="22" t="str">
        <f t="shared" si="27"/>
        <v/>
      </c>
      <c r="Y56" s="22"/>
      <c r="AC56" s="2"/>
      <c r="AD56" s="2"/>
      <c r="AJ56" s="34"/>
      <c r="AK56" s="34"/>
      <c r="AL56" s="34"/>
    </row>
    <row r="57" spans="5:38" x14ac:dyDescent="0.25">
      <c r="E57" s="25" t="str">
        <f t="shared" si="13"/>
        <v xml:space="preserve"> </v>
      </c>
      <c r="F57" s="26" t="str">
        <f t="shared" si="14"/>
        <v xml:space="preserve"> </v>
      </c>
      <c r="G57" s="27" t="str">
        <f t="shared" si="15"/>
        <v xml:space="preserve"> </v>
      </c>
      <c r="H57" s="28" t="str">
        <f t="shared" si="0"/>
        <v xml:space="preserve"> </v>
      </c>
      <c r="I57" s="3" t="str">
        <f t="shared" si="16"/>
        <v xml:space="preserve"> </v>
      </c>
      <c r="J57" s="3" t="str">
        <f t="shared" si="1"/>
        <v xml:space="preserve"> </v>
      </c>
      <c r="K57" s="3" t="str">
        <f t="shared" si="17"/>
        <v/>
      </c>
      <c r="L57" s="30" t="str">
        <f t="shared" si="2"/>
        <v/>
      </c>
      <c r="M57" s="29" t="str">
        <f t="shared" si="18"/>
        <v/>
      </c>
      <c r="N57" s="29" t="str">
        <f t="shared" si="22"/>
        <v/>
      </c>
      <c r="O57" s="29" t="str">
        <f t="shared" si="3"/>
        <v/>
      </c>
      <c r="P57" s="29" t="str">
        <f t="shared" si="4"/>
        <v/>
      </c>
      <c r="Q57" s="23" t="str">
        <f t="shared" si="23"/>
        <v/>
      </c>
      <c r="R57" s="5" t="str">
        <f t="shared" si="28"/>
        <v/>
      </c>
      <c r="S57" s="5" t="str">
        <f t="shared" si="20"/>
        <v/>
      </c>
      <c r="T57" s="5" t="str">
        <f t="shared" si="21"/>
        <v/>
      </c>
      <c r="U57" s="4" t="str">
        <f t="shared" si="24"/>
        <v xml:space="preserve"> </v>
      </c>
      <c r="V57" s="6" t="str">
        <f t="shared" si="25"/>
        <v xml:space="preserve"> </v>
      </c>
      <c r="W57" s="22" t="str">
        <f t="shared" si="26"/>
        <v/>
      </c>
      <c r="X57" s="22" t="str">
        <f t="shared" si="27"/>
        <v/>
      </c>
      <c r="Y57" s="22"/>
      <c r="AC57" s="2"/>
      <c r="AD57" s="2"/>
      <c r="AJ57" s="34"/>
      <c r="AK57" s="34"/>
      <c r="AL57" s="34"/>
    </row>
    <row r="58" spans="5:38" x14ac:dyDescent="0.25">
      <c r="E58" s="25" t="str">
        <f t="shared" si="13"/>
        <v xml:space="preserve"> </v>
      </c>
      <c r="F58" s="26" t="str">
        <f t="shared" si="14"/>
        <v xml:space="preserve"> </v>
      </c>
      <c r="G58" s="27" t="str">
        <f t="shared" si="15"/>
        <v xml:space="preserve"> </v>
      </c>
      <c r="H58" s="28" t="str">
        <f t="shared" si="0"/>
        <v xml:space="preserve"> </v>
      </c>
      <c r="I58" s="3" t="str">
        <f t="shared" si="16"/>
        <v xml:space="preserve"> </v>
      </c>
      <c r="J58" s="3" t="str">
        <f t="shared" si="1"/>
        <v xml:space="preserve"> </v>
      </c>
      <c r="K58" s="3" t="str">
        <f t="shared" si="17"/>
        <v/>
      </c>
      <c r="L58" s="30" t="str">
        <f t="shared" si="2"/>
        <v/>
      </c>
      <c r="M58" s="29" t="str">
        <f t="shared" si="18"/>
        <v/>
      </c>
      <c r="N58" s="29" t="str">
        <f t="shared" si="22"/>
        <v/>
      </c>
      <c r="O58" s="29" t="str">
        <f t="shared" si="3"/>
        <v/>
      </c>
      <c r="P58" s="29" t="str">
        <f t="shared" si="4"/>
        <v/>
      </c>
      <c r="Q58" s="23" t="str">
        <f t="shared" si="23"/>
        <v/>
      </c>
      <c r="R58" s="5" t="str">
        <f t="shared" si="28"/>
        <v/>
      </c>
      <c r="S58" s="5" t="str">
        <f t="shared" si="20"/>
        <v/>
      </c>
      <c r="T58" s="5" t="str">
        <f t="shared" si="21"/>
        <v/>
      </c>
      <c r="U58" s="4" t="str">
        <f t="shared" si="24"/>
        <v xml:space="preserve"> </v>
      </c>
      <c r="V58" s="6" t="str">
        <f t="shared" si="25"/>
        <v xml:space="preserve"> </v>
      </c>
      <c r="W58" s="22" t="str">
        <f t="shared" si="26"/>
        <v/>
      </c>
      <c r="X58" s="22" t="str">
        <f t="shared" si="27"/>
        <v/>
      </c>
      <c r="Y58" s="22"/>
      <c r="AC58" s="2"/>
      <c r="AD58" s="2"/>
      <c r="AJ58" s="34"/>
      <c r="AK58" s="34"/>
      <c r="AL58" s="34"/>
    </row>
    <row r="59" spans="5:38" x14ac:dyDescent="0.25">
      <c r="E59" s="25" t="str">
        <f t="shared" si="13"/>
        <v xml:space="preserve"> </v>
      </c>
      <c r="F59" s="26" t="str">
        <f t="shared" si="14"/>
        <v xml:space="preserve"> </v>
      </c>
      <c r="G59" s="27" t="str">
        <f t="shared" si="15"/>
        <v xml:space="preserve"> </v>
      </c>
      <c r="H59" s="28" t="str">
        <f t="shared" si="0"/>
        <v xml:space="preserve"> </v>
      </c>
      <c r="I59" s="3" t="str">
        <f t="shared" si="16"/>
        <v xml:space="preserve"> </v>
      </c>
      <c r="J59" s="3" t="str">
        <f t="shared" si="1"/>
        <v xml:space="preserve"> </v>
      </c>
      <c r="K59" s="3" t="str">
        <f t="shared" si="17"/>
        <v/>
      </c>
      <c r="L59" s="30" t="str">
        <f t="shared" si="2"/>
        <v/>
      </c>
      <c r="M59" s="29" t="str">
        <f t="shared" si="18"/>
        <v/>
      </c>
      <c r="N59" s="29" t="str">
        <f t="shared" si="22"/>
        <v/>
      </c>
      <c r="O59" s="29" t="str">
        <f t="shared" si="3"/>
        <v/>
      </c>
      <c r="P59" s="29" t="str">
        <f t="shared" si="4"/>
        <v/>
      </c>
      <c r="Q59" s="23" t="str">
        <f t="shared" si="23"/>
        <v/>
      </c>
      <c r="R59" s="5" t="str">
        <f t="shared" si="28"/>
        <v/>
      </c>
      <c r="S59" s="5" t="str">
        <f t="shared" si="20"/>
        <v/>
      </c>
      <c r="T59" s="5" t="str">
        <f t="shared" si="21"/>
        <v/>
      </c>
      <c r="U59" s="4" t="str">
        <f t="shared" si="24"/>
        <v xml:space="preserve"> </v>
      </c>
      <c r="V59" s="6" t="str">
        <f t="shared" si="25"/>
        <v xml:space="preserve"> </v>
      </c>
      <c r="W59" s="22" t="str">
        <f t="shared" si="26"/>
        <v/>
      </c>
      <c r="X59" s="22" t="str">
        <f t="shared" si="27"/>
        <v/>
      </c>
      <c r="Y59" s="22"/>
      <c r="AC59" s="2"/>
      <c r="AD59" s="2"/>
      <c r="AJ59" s="34"/>
      <c r="AK59" s="34"/>
      <c r="AL59" s="34"/>
    </row>
    <row r="60" spans="5:38" x14ac:dyDescent="0.25">
      <c r="E60" s="25" t="str">
        <f t="shared" si="13"/>
        <v xml:space="preserve"> </v>
      </c>
      <c r="F60" s="26" t="str">
        <f t="shared" si="14"/>
        <v xml:space="preserve"> </v>
      </c>
      <c r="G60" s="27" t="str">
        <f t="shared" si="15"/>
        <v xml:space="preserve"> </v>
      </c>
      <c r="H60" s="28" t="str">
        <f t="shared" si="0"/>
        <v xml:space="preserve"> </v>
      </c>
      <c r="I60" s="3" t="str">
        <f t="shared" si="16"/>
        <v xml:space="preserve"> </v>
      </c>
      <c r="J60" s="3" t="str">
        <f t="shared" si="1"/>
        <v xml:space="preserve"> </v>
      </c>
      <c r="K60" s="3" t="str">
        <f t="shared" si="17"/>
        <v/>
      </c>
      <c r="L60" s="30" t="str">
        <f t="shared" si="2"/>
        <v/>
      </c>
      <c r="M60" s="29" t="str">
        <f t="shared" si="18"/>
        <v/>
      </c>
      <c r="N60" s="29" t="str">
        <f t="shared" si="22"/>
        <v/>
      </c>
      <c r="O60" s="29" t="str">
        <f t="shared" si="3"/>
        <v/>
      </c>
      <c r="P60" s="29" t="str">
        <f t="shared" si="4"/>
        <v/>
      </c>
      <c r="Q60" s="23" t="str">
        <f t="shared" si="23"/>
        <v/>
      </c>
      <c r="R60" s="5" t="str">
        <f t="shared" si="28"/>
        <v/>
      </c>
      <c r="S60" s="5" t="str">
        <f t="shared" si="20"/>
        <v/>
      </c>
      <c r="T60" s="5" t="str">
        <f t="shared" si="21"/>
        <v/>
      </c>
      <c r="U60" s="4" t="str">
        <f t="shared" si="24"/>
        <v xml:space="preserve"> </v>
      </c>
      <c r="V60" s="6" t="str">
        <f t="shared" si="25"/>
        <v xml:space="preserve"> </v>
      </c>
      <c r="W60" s="22" t="str">
        <f t="shared" si="26"/>
        <v/>
      </c>
      <c r="X60" s="22" t="str">
        <f t="shared" si="27"/>
        <v/>
      </c>
      <c r="Y60" s="22"/>
      <c r="AC60" s="2"/>
      <c r="AD60" s="2"/>
      <c r="AJ60" s="34"/>
      <c r="AK60" s="34"/>
      <c r="AL60" s="34"/>
    </row>
    <row r="61" spans="5:38" x14ac:dyDescent="0.25">
      <c r="E61" s="25" t="str">
        <f t="shared" si="13"/>
        <v xml:space="preserve"> </v>
      </c>
      <c r="F61" s="26" t="str">
        <f t="shared" si="14"/>
        <v xml:space="preserve"> </v>
      </c>
      <c r="G61" s="27" t="str">
        <f t="shared" si="15"/>
        <v xml:space="preserve"> </v>
      </c>
      <c r="H61" s="28" t="str">
        <f t="shared" si="0"/>
        <v xml:space="preserve"> </v>
      </c>
      <c r="I61" s="3" t="str">
        <f t="shared" si="16"/>
        <v xml:space="preserve"> </v>
      </c>
      <c r="J61" s="3" t="str">
        <f t="shared" si="1"/>
        <v xml:space="preserve"> </v>
      </c>
      <c r="K61" s="3" t="str">
        <f t="shared" si="17"/>
        <v/>
      </c>
      <c r="L61" s="30" t="str">
        <f t="shared" si="2"/>
        <v/>
      </c>
      <c r="M61" s="29" t="str">
        <f t="shared" si="18"/>
        <v/>
      </c>
      <c r="N61" s="29" t="str">
        <f t="shared" si="22"/>
        <v/>
      </c>
      <c r="O61" s="29" t="str">
        <f t="shared" si="3"/>
        <v/>
      </c>
      <c r="P61" s="29" t="str">
        <f t="shared" si="4"/>
        <v/>
      </c>
      <c r="Q61" s="23" t="str">
        <f t="shared" si="23"/>
        <v/>
      </c>
      <c r="R61" s="5" t="str">
        <f t="shared" si="28"/>
        <v/>
      </c>
      <c r="S61" s="5" t="str">
        <f t="shared" si="20"/>
        <v/>
      </c>
      <c r="T61" s="5" t="str">
        <f t="shared" si="21"/>
        <v/>
      </c>
      <c r="U61" s="4" t="str">
        <f t="shared" si="24"/>
        <v xml:space="preserve"> </v>
      </c>
      <c r="V61" s="6" t="str">
        <f t="shared" si="25"/>
        <v xml:space="preserve"> </v>
      </c>
      <c r="W61" s="22" t="str">
        <f t="shared" si="26"/>
        <v/>
      </c>
      <c r="X61" s="22" t="str">
        <f t="shared" si="27"/>
        <v/>
      </c>
      <c r="Y61" s="22"/>
      <c r="AC61" s="2"/>
      <c r="AD61" s="2"/>
      <c r="AJ61" s="34"/>
      <c r="AK61" s="34"/>
      <c r="AL61" s="34"/>
    </row>
    <row r="62" spans="5:38" x14ac:dyDescent="0.25">
      <c r="E62" s="25" t="str">
        <f t="shared" si="13"/>
        <v xml:space="preserve"> </v>
      </c>
      <c r="F62" s="26" t="str">
        <f t="shared" si="14"/>
        <v xml:space="preserve"> </v>
      </c>
      <c r="G62" s="27" t="str">
        <f t="shared" si="15"/>
        <v xml:space="preserve"> </v>
      </c>
      <c r="H62" s="28" t="str">
        <f t="shared" si="0"/>
        <v xml:space="preserve"> </v>
      </c>
      <c r="I62" s="3" t="str">
        <f t="shared" si="16"/>
        <v xml:space="preserve"> </v>
      </c>
      <c r="J62" s="3" t="str">
        <f t="shared" si="1"/>
        <v xml:space="preserve"> </v>
      </c>
      <c r="K62" s="3" t="str">
        <f t="shared" si="17"/>
        <v/>
      </c>
      <c r="L62" s="30" t="str">
        <f t="shared" si="2"/>
        <v/>
      </c>
      <c r="M62" s="29" t="str">
        <f t="shared" si="18"/>
        <v/>
      </c>
      <c r="N62" s="29" t="str">
        <f t="shared" si="22"/>
        <v/>
      </c>
      <c r="O62" s="29" t="str">
        <f t="shared" si="3"/>
        <v/>
      </c>
      <c r="P62" s="29" t="str">
        <f t="shared" si="4"/>
        <v/>
      </c>
      <c r="Q62" s="23" t="str">
        <f t="shared" si="23"/>
        <v/>
      </c>
      <c r="R62" s="5" t="str">
        <f t="shared" si="28"/>
        <v/>
      </c>
      <c r="S62" s="5" t="str">
        <f t="shared" si="20"/>
        <v/>
      </c>
      <c r="T62" s="5" t="str">
        <f t="shared" si="21"/>
        <v/>
      </c>
      <c r="U62" s="4" t="str">
        <f t="shared" si="24"/>
        <v xml:space="preserve"> </v>
      </c>
      <c r="V62" s="6" t="str">
        <f t="shared" si="25"/>
        <v xml:space="preserve"> </v>
      </c>
      <c r="W62" s="22" t="str">
        <f t="shared" si="26"/>
        <v/>
      </c>
      <c r="X62" s="22" t="str">
        <f t="shared" si="27"/>
        <v/>
      </c>
      <c r="Y62" s="22"/>
      <c r="AC62" s="2"/>
      <c r="AD62" s="2"/>
      <c r="AJ62" s="34"/>
      <c r="AK62" s="34"/>
      <c r="AL62" s="34"/>
    </row>
    <row r="63" spans="5:38" x14ac:dyDescent="0.25">
      <c r="E63" s="25" t="str">
        <f t="shared" si="13"/>
        <v xml:space="preserve"> </v>
      </c>
      <c r="F63" s="26" t="str">
        <f t="shared" si="14"/>
        <v xml:space="preserve"> </v>
      </c>
      <c r="G63" s="27" t="str">
        <f t="shared" si="15"/>
        <v xml:space="preserve"> </v>
      </c>
      <c r="H63" s="28" t="str">
        <f t="shared" si="0"/>
        <v xml:space="preserve"> </v>
      </c>
      <c r="I63" s="3" t="str">
        <f t="shared" si="16"/>
        <v xml:space="preserve"> </v>
      </c>
      <c r="J63" s="3" t="str">
        <f t="shared" si="1"/>
        <v xml:space="preserve"> </v>
      </c>
      <c r="K63" s="3" t="str">
        <f t="shared" si="17"/>
        <v/>
      </c>
      <c r="L63" s="30" t="str">
        <f t="shared" si="2"/>
        <v/>
      </c>
      <c r="M63" s="29" t="str">
        <f t="shared" si="18"/>
        <v/>
      </c>
      <c r="N63" s="29" t="str">
        <f t="shared" si="22"/>
        <v/>
      </c>
      <c r="O63" s="29" t="str">
        <f t="shared" si="3"/>
        <v/>
      </c>
      <c r="P63" s="29" t="str">
        <f t="shared" si="4"/>
        <v/>
      </c>
      <c r="Q63" s="23" t="str">
        <f t="shared" si="23"/>
        <v/>
      </c>
      <c r="R63" s="5" t="str">
        <f t="shared" si="28"/>
        <v/>
      </c>
      <c r="S63" s="5" t="str">
        <f t="shared" si="20"/>
        <v/>
      </c>
      <c r="T63" s="5" t="str">
        <f t="shared" si="21"/>
        <v/>
      </c>
      <c r="U63" s="4" t="str">
        <f t="shared" si="24"/>
        <v xml:space="preserve"> </v>
      </c>
      <c r="V63" s="6" t="str">
        <f t="shared" si="25"/>
        <v xml:space="preserve"> </v>
      </c>
      <c r="W63" s="22" t="str">
        <f t="shared" si="26"/>
        <v/>
      </c>
      <c r="X63" s="22" t="str">
        <f t="shared" si="27"/>
        <v/>
      </c>
      <c r="Y63" s="22"/>
      <c r="AC63" s="2"/>
      <c r="AD63" s="2"/>
      <c r="AJ63" s="34"/>
      <c r="AK63" s="34"/>
      <c r="AL63" s="34"/>
    </row>
    <row r="64" spans="5:38" x14ac:dyDescent="0.25">
      <c r="E64" s="25" t="str">
        <f t="shared" si="13"/>
        <v xml:space="preserve"> </v>
      </c>
      <c r="F64" s="26" t="str">
        <f t="shared" si="14"/>
        <v xml:space="preserve"> </v>
      </c>
      <c r="G64" s="27" t="str">
        <f t="shared" si="15"/>
        <v xml:space="preserve"> </v>
      </c>
      <c r="H64" s="28" t="str">
        <f t="shared" si="0"/>
        <v xml:space="preserve"> </v>
      </c>
      <c r="I64" s="3" t="str">
        <f t="shared" si="16"/>
        <v xml:space="preserve"> </v>
      </c>
      <c r="J64" s="3" t="str">
        <f t="shared" si="1"/>
        <v xml:space="preserve"> </v>
      </c>
      <c r="K64" s="3" t="str">
        <f t="shared" si="17"/>
        <v/>
      </c>
      <c r="L64" s="30" t="str">
        <f t="shared" ref="L64:L69" si="29">IFERROR(ROUND(IF($C$18=" "," ",$C$13/K64),2),"")</f>
        <v/>
      </c>
      <c r="M64" s="29" t="str">
        <f t="shared" si="18"/>
        <v/>
      </c>
      <c r="N64" s="29" t="str">
        <f t="shared" si="22"/>
        <v/>
      </c>
      <c r="O64" s="29" t="str">
        <f t="shared" si="3"/>
        <v/>
      </c>
      <c r="P64" s="29" t="str">
        <f t="shared" si="4"/>
        <v/>
      </c>
      <c r="Q64" s="23" t="str">
        <f t="shared" si="23"/>
        <v/>
      </c>
      <c r="R64" s="5" t="str">
        <f t="shared" si="28"/>
        <v/>
      </c>
      <c r="S64" s="5" t="str">
        <f t="shared" si="20"/>
        <v/>
      </c>
      <c r="T64" s="5" t="str">
        <f t="shared" si="21"/>
        <v/>
      </c>
      <c r="U64" s="4" t="str">
        <f t="shared" si="24"/>
        <v xml:space="preserve"> </v>
      </c>
      <c r="V64" s="6" t="str">
        <f t="shared" si="25"/>
        <v xml:space="preserve"> </v>
      </c>
      <c r="W64" s="22" t="str">
        <f t="shared" si="26"/>
        <v/>
      </c>
      <c r="X64" s="22" t="str">
        <f t="shared" si="27"/>
        <v/>
      </c>
      <c r="Y64" s="22"/>
    </row>
    <row r="65" spans="5:25" x14ac:dyDescent="0.25">
      <c r="E65" s="25" t="str">
        <f t="shared" si="13"/>
        <v xml:space="preserve"> </v>
      </c>
      <c r="F65" s="26" t="str">
        <f t="shared" si="14"/>
        <v xml:space="preserve"> </v>
      </c>
      <c r="G65" s="27" t="str">
        <f t="shared" si="15"/>
        <v xml:space="preserve"> </v>
      </c>
      <c r="H65" s="28" t="str">
        <f t="shared" si="0"/>
        <v xml:space="preserve"> </v>
      </c>
      <c r="I65" s="3" t="str">
        <f t="shared" si="16"/>
        <v xml:space="preserve"> </v>
      </c>
      <c r="J65" s="3" t="str">
        <f t="shared" si="1"/>
        <v xml:space="preserve"> </v>
      </c>
      <c r="K65" s="3" t="str">
        <f t="shared" si="17"/>
        <v/>
      </c>
      <c r="L65" s="30" t="str">
        <f t="shared" si="29"/>
        <v/>
      </c>
      <c r="M65" s="29" t="str">
        <f t="shared" si="18"/>
        <v/>
      </c>
      <c r="N65" s="29" t="str">
        <f t="shared" si="22"/>
        <v/>
      </c>
      <c r="O65" s="29" t="str">
        <f t="shared" si="3"/>
        <v/>
      </c>
      <c r="P65" s="29" t="str">
        <f t="shared" si="4"/>
        <v/>
      </c>
      <c r="Q65" s="23" t="str">
        <f t="shared" si="23"/>
        <v/>
      </c>
      <c r="R65" s="5" t="str">
        <f t="shared" si="28"/>
        <v/>
      </c>
      <c r="S65" s="5" t="str">
        <f t="shared" si="20"/>
        <v/>
      </c>
      <c r="T65" s="5" t="str">
        <f t="shared" si="21"/>
        <v/>
      </c>
      <c r="U65" s="4" t="str">
        <f t="shared" si="24"/>
        <v xml:space="preserve"> </v>
      </c>
      <c r="V65" s="6" t="str">
        <f t="shared" si="25"/>
        <v xml:space="preserve"> </v>
      </c>
      <c r="W65" s="22" t="str">
        <f t="shared" si="26"/>
        <v/>
      </c>
      <c r="X65" s="22" t="str">
        <f t="shared" si="27"/>
        <v/>
      </c>
      <c r="Y65" s="22"/>
    </row>
    <row r="66" spans="5:25" x14ac:dyDescent="0.25">
      <c r="E66" s="25" t="str">
        <f t="shared" si="13"/>
        <v xml:space="preserve"> </v>
      </c>
      <c r="F66" s="26" t="str">
        <f t="shared" si="14"/>
        <v xml:space="preserve"> </v>
      </c>
      <c r="G66" s="27" t="str">
        <f t="shared" si="15"/>
        <v xml:space="preserve"> </v>
      </c>
      <c r="H66" s="28" t="str">
        <f t="shared" si="0"/>
        <v xml:space="preserve"> </v>
      </c>
      <c r="I66" s="3" t="str">
        <f t="shared" si="16"/>
        <v xml:space="preserve"> </v>
      </c>
      <c r="J66" s="3" t="str">
        <f t="shared" si="1"/>
        <v xml:space="preserve"> </v>
      </c>
      <c r="K66" s="3" t="str">
        <f t="shared" si="17"/>
        <v/>
      </c>
      <c r="L66" s="30" t="str">
        <f t="shared" si="29"/>
        <v/>
      </c>
      <c r="M66" s="29" t="str">
        <f t="shared" si="18"/>
        <v/>
      </c>
      <c r="N66" s="29" t="str">
        <f t="shared" si="22"/>
        <v/>
      </c>
      <c r="O66" s="29" t="str">
        <f t="shared" si="3"/>
        <v/>
      </c>
      <c r="P66" s="29" t="str">
        <f t="shared" si="4"/>
        <v/>
      </c>
      <c r="Q66" s="23" t="str">
        <f t="shared" si="23"/>
        <v/>
      </c>
      <c r="R66" s="5" t="str">
        <f t="shared" si="28"/>
        <v/>
      </c>
      <c r="S66" s="5" t="str">
        <f t="shared" si="20"/>
        <v/>
      </c>
      <c r="T66" s="5" t="str">
        <f t="shared" si="21"/>
        <v/>
      </c>
      <c r="U66" s="4" t="str">
        <f t="shared" si="24"/>
        <v xml:space="preserve"> </v>
      </c>
      <c r="V66" s="6" t="str">
        <f t="shared" si="25"/>
        <v xml:space="preserve"> </v>
      </c>
      <c r="W66" s="22" t="str">
        <f t="shared" si="26"/>
        <v/>
      </c>
      <c r="X66" s="22" t="str">
        <f t="shared" si="27"/>
        <v/>
      </c>
      <c r="Y66" s="22"/>
    </row>
    <row r="67" spans="5:25" x14ac:dyDescent="0.25">
      <c r="E67" s="25" t="str">
        <f t="shared" si="13"/>
        <v xml:space="preserve"> </v>
      </c>
      <c r="F67" s="26" t="str">
        <f t="shared" si="14"/>
        <v xml:space="preserve"> </v>
      </c>
      <c r="G67" s="27" t="str">
        <f t="shared" si="15"/>
        <v xml:space="preserve"> </v>
      </c>
      <c r="H67" s="28" t="str">
        <f t="shared" si="0"/>
        <v xml:space="preserve"> </v>
      </c>
      <c r="I67" s="3" t="str">
        <f t="shared" si="16"/>
        <v xml:space="preserve"> </v>
      </c>
      <c r="J67" s="3" t="str">
        <f t="shared" si="1"/>
        <v xml:space="preserve"> </v>
      </c>
      <c r="K67" s="3" t="str">
        <f t="shared" si="17"/>
        <v/>
      </c>
      <c r="L67" s="30" t="str">
        <f t="shared" si="29"/>
        <v/>
      </c>
      <c r="M67" s="29" t="str">
        <f t="shared" si="18"/>
        <v/>
      </c>
      <c r="N67" s="29" t="str">
        <f t="shared" si="22"/>
        <v/>
      </c>
      <c r="O67" s="29" t="str">
        <f t="shared" si="3"/>
        <v/>
      </c>
      <c r="P67" s="29" t="str">
        <f t="shared" si="4"/>
        <v/>
      </c>
      <c r="Q67" s="23" t="str">
        <f t="shared" si="23"/>
        <v/>
      </c>
      <c r="R67" s="5" t="str">
        <f t="shared" si="28"/>
        <v/>
      </c>
      <c r="S67" s="5" t="str">
        <f t="shared" si="20"/>
        <v/>
      </c>
      <c r="T67" s="5" t="str">
        <f t="shared" si="21"/>
        <v/>
      </c>
      <c r="U67" s="4" t="str">
        <f t="shared" si="24"/>
        <v xml:space="preserve"> </v>
      </c>
      <c r="V67" s="6" t="str">
        <f t="shared" si="25"/>
        <v xml:space="preserve"> </v>
      </c>
      <c r="W67" s="22" t="str">
        <f t="shared" si="26"/>
        <v/>
      </c>
      <c r="X67" s="22" t="str">
        <f t="shared" si="27"/>
        <v/>
      </c>
      <c r="Y67" s="22"/>
    </row>
    <row r="68" spans="5:25" x14ac:dyDescent="0.25">
      <c r="E68" s="25" t="str">
        <f t="shared" si="13"/>
        <v xml:space="preserve"> </v>
      </c>
      <c r="F68" s="26" t="str">
        <f t="shared" si="14"/>
        <v xml:space="preserve"> </v>
      </c>
      <c r="G68" s="27" t="str">
        <f t="shared" si="15"/>
        <v xml:space="preserve"> </v>
      </c>
      <c r="H68" s="28" t="str">
        <f t="shared" ref="H68:H69" si="30">IFERROR(IF(E68=" "," ",IF($E68&lt;=$C$16,$G68*$C$14/IF(DAY(DATE(MID(F68,7,4),3,0))=29,366,365),$G68*$C$15/IF(DAY(DATE(MID(F68,7,4),3,0))=29,366,365))),"")</f>
        <v xml:space="preserve"> </v>
      </c>
      <c r="I68" s="3" t="str">
        <f t="shared" si="16"/>
        <v xml:space="preserve"> </v>
      </c>
      <c r="J68" s="3" t="str">
        <f t="shared" ref="J68:J69" si="31">IFERROR(IF($C$18=" "," ",1/(1+I68))," ")</f>
        <v xml:space="preserve"> </v>
      </c>
      <c r="K68" s="3" t="str">
        <f t="shared" si="17"/>
        <v/>
      </c>
      <c r="L68" s="30" t="str">
        <f t="shared" si="29"/>
        <v/>
      </c>
      <c r="M68" s="29" t="str">
        <f t="shared" si="18"/>
        <v/>
      </c>
      <c r="N68" s="29" t="str">
        <f t="shared" si="22"/>
        <v/>
      </c>
      <c r="O68" s="29" t="str">
        <f t="shared" ref="O68:O69" si="32">IFERROR(IF($C$17=E68,M68,TRUNC($C$19-N68,2)),"")</f>
        <v/>
      </c>
      <c r="P68" s="29" t="str">
        <f t="shared" ref="P68:P69" si="33">IF(TRUNC(SUM(N68:O68),2)&lt;=0,"",TRUNC(SUM(N68:O68),2))</f>
        <v/>
      </c>
      <c r="Q68" s="23" t="str">
        <f t="shared" si="23"/>
        <v/>
      </c>
      <c r="R68" s="5" t="str">
        <f t="shared" si="28"/>
        <v/>
      </c>
      <c r="S68" s="5" t="str">
        <f t="shared" si="20"/>
        <v/>
      </c>
      <c r="T68" s="5" t="str">
        <f t="shared" si="21"/>
        <v/>
      </c>
      <c r="U68" s="4" t="str">
        <f t="shared" si="24"/>
        <v xml:space="preserve"> </v>
      </c>
      <c r="V68" s="6" t="str">
        <f t="shared" si="25"/>
        <v xml:space="preserve"> </v>
      </c>
      <c r="W68" s="22" t="str">
        <f t="shared" si="26"/>
        <v/>
      </c>
      <c r="X68" s="22" t="str">
        <f t="shared" si="27"/>
        <v/>
      </c>
      <c r="Y68" s="22"/>
    </row>
    <row r="69" spans="5:25" x14ac:dyDescent="0.25">
      <c r="E69" s="25" t="str">
        <f t="shared" ref="E69" si="34">IFERROR(IF($E68&lt;$C$17,E68+1," "),"")</f>
        <v xml:space="preserve"> </v>
      </c>
      <c r="F69" s="26" t="str">
        <f t="shared" ref="F69" si="35">IFERROR(TEXT(IF($E69&lt;=$C$17,EDATE($F$4,E69 - 1)," "),"DD/MM/YYYY"),"")</f>
        <v xml:space="preserve"> </v>
      </c>
      <c r="G69" s="27" t="str">
        <f t="shared" ref="G69" si="36">IFERROR(IF(E69=" "," ",F69-F68),"")</f>
        <v xml:space="preserve"> </v>
      </c>
      <c r="H69" s="28" t="str">
        <f t="shared" si="30"/>
        <v xml:space="preserve"> </v>
      </c>
      <c r="I69" s="3" t="str">
        <f t="shared" ref="I69" si="37">IFERROR(IF(E69=" "," ",ROUND(I68+H69+(I68*H69),6)),"")</f>
        <v xml:space="preserve"> </v>
      </c>
      <c r="J69" s="3" t="str">
        <f t="shared" si="31"/>
        <v xml:space="preserve"> </v>
      </c>
      <c r="K69" s="3" t="str">
        <f t="shared" ref="K69" si="38">IFERROR(IF($C$18=" "," ",K68+J69),"")</f>
        <v/>
      </c>
      <c r="L69" s="30" t="str">
        <f t="shared" si="29"/>
        <v/>
      </c>
      <c r="M69" s="29" t="str">
        <f t="shared" ref="M69" si="39">IFERROR(IF(IF($M68&gt;0,($M68-$O68)," ")&lt;=0,"",IF($M68&gt;0,($M68-$O68)," ")),"")</f>
        <v/>
      </c>
      <c r="N69" s="29" t="str">
        <f t="shared" si="22"/>
        <v/>
      </c>
      <c r="O69" s="29" t="str">
        <f t="shared" si="32"/>
        <v/>
      </c>
      <c r="P69" s="29" t="str">
        <f t="shared" si="33"/>
        <v/>
      </c>
      <c r="Q69" s="23" t="str">
        <f t="shared" si="23"/>
        <v/>
      </c>
      <c r="R69" s="5" t="str">
        <f t="shared" ref="R69:R100" si="40">TEXT(IF(AND(Q68="N",Q69="Y"),EDATE($F$4,E69-2),IF(AND(Q68="Y",Q69="N"),EDATE($F$4,E69-2),"")),"DD/MM/YYYY")</f>
        <v/>
      </c>
      <c r="S69" s="5" t="str">
        <f t="shared" ref="S69" si="41">TEXT(IFERROR(DATE(YEAR(R69),12,31),""),"DD/MM/YYYY")</f>
        <v/>
      </c>
      <c r="T69" s="5" t="str">
        <f t="shared" ref="T69" si="42">TEXT(IFERROR(EDATE($R69,1),""),"DD/MM/YYYY")</f>
        <v/>
      </c>
      <c r="U69" s="4" t="str">
        <f t="shared" si="24"/>
        <v xml:space="preserve"> </v>
      </c>
      <c r="V69" s="6" t="str">
        <f t="shared" si="25"/>
        <v xml:space="preserve"> </v>
      </c>
      <c r="W69" s="22" t="str">
        <f t="shared" si="26"/>
        <v/>
      </c>
      <c r="X69" s="22" t="str">
        <f t="shared" si="27"/>
        <v/>
      </c>
      <c r="Y69" s="22"/>
    </row>
  </sheetData>
  <sheetProtection algorithmName="SHA-512" hashValue="vp0UpwUVvqRJ7vm2Ziyi0JZrKKCWpeDK006FSFtUbQ+jo98pqt7PKiwqF+QAu1JE0l21SDuXQyHZ8avijf5iAQ==" saltValue="XZS/fnwTQq+z5NPztd3+zA==" spinCount="100000" sheet="1" objects="1" scenarios="1"/>
  <mergeCells count="5">
    <mergeCell ref="E2:P2"/>
    <mergeCell ref="Z3:AH3"/>
    <mergeCell ref="B5:C5"/>
    <mergeCell ref="B9:C9"/>
    <mergeCell ref="AJ3:AL3"/>
  </mergeCells>
  <conditionalFormatting sqref="Q4">
    <cfRule type="cellIs" dxfId="14" priority="7" operator="equal">
      <formula>"Y"</formula>
    </cfRule>
  </conditionalFormatting>
  <conditionalFormatting sqref="Q5:Q69 M5:P5 M10:M69 O10:P69 M6:M8 O6:P8 M4:Q4 N6:N69">
    <cfRule type="cellIs" dxfId="13" priority="6" operator="equal">
      <formula>"Y"</formula>
    </cfRule>
  </conditionalFormatting>
  <conditionalFormatting sqref="M9 O9:P9">
    <cfRule type="cellIs" dxfId="12" priority="5" operator="equal">
      <formula>"Y"</formula>
    </cfRule>
  </conditionalFormatting>
  <conditionalFormatting sqref="AJ4:AL63">
    <cfRule type="cellIs" dxfId="11" priority="2" operator="greaterThan">
      <formula>0</formula>
    </cfRule>
    <cfRule type="cellIs" dxfId="10" priority="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L69"/>
  <sheetViews>
    <sheetView showGridLines="0" zoomScale="85" zoomScaleNormal="85" workbookViewId="0">
      <selection activeCell="AB21" sqref="AB21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7.28515625" style="1" bestFit="1" customWidth="1"/>
    <col min="6" max="6" width="16.42578125" style="2" bestFit="1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8" style="22" hidden="1" customWidth="1"/>
    <col min="18" max="18" width="11.7109375" style="1" hidden="1" customWidth="1"/>
    <col min="19" max="19" width="16.140625" style="1" hidden="1" customWidth="1"/>
    <col min="20" max="20" width="11.28515625" style="1" hidden="1" customWidth="1"/>
    <col min="21" max="21" width="8.7109375" style="1" hidden="1" customWidth="1"/>
    <col min="22" max="22" width="12.28515625" style="1" hidden="1" customWidth="1"/>
    <col min="23" max="24" width="6.140625" style="1" hidden="1" customWidth="1"/>
    <col min="25" max="25" width="2.5703125" style="1" customWidth="1"/>
    <col min="26" max="26" width="3.140625" style="1" bestFit="1" customWidth="1"/>
    <col min="27" max="27" width="2.140625" style="1" bestFit="1" customWidth="1"/>
    <col min="28" max="28" width="11" style="1" bestFit="1" customWidth="1"/>
    <col min="29" max="30" width="10.85546875" style="1" bestFit="1" customWidth="1"/>
    <col min="31" max="33" width="9" style="36" bestFit="1" customWidth="1"/>
    <col min="34" max="34" width="8" style="36" bestFit="1" customWidth="1"/>
    <col min="35" max="35" width="2.7109375" style="1" customWidth="1"/>
    <col min="36" max="36" width="11.85546875" style="1" bestFit="1" customWidth="1"/>
    <col min="37" max="16384" width="11.42578125" style="1"/>
  </cols>
  <sheetData>
    <row r="1" spans="2:38" x14ac:dyDescent="0.25">
      <c r="F1" s="1"/>
      <c r="G1" s="1"/>
      <c r="Q1" s="1"/>
    </row>
    <row r="2" spans="2:38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24"/>
      <c r="R2" s="24"/>
      <c r="S2" s="24"/>
      <c r="T2" s="24"/>
      <c r="U2" s="24"/>
      <c r="V2" s="24"/>
      <c r="W2" s="24"/>
      <c r="X2" s="24"/>
      <c r="Y2" s="35"/>
    </row>
    <row r="3" spans="2:38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1" t="s">
        <v>22</v>
      </c>
      <c r="Q3" s="19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1" t="s">
        <v>30</v>
      </c>
      <c r="Y3" s="22"/>
      <c r="Z3" s="40" t="s">
        <v>40</v>
      </c>
      <c r="AA3" s="41"/>
      <c r="AB3" s="41"/>
      <c r="AC3" s="41"/>
      <c r="AD3" s="41"/>
      <c r="AE3" s="41"/>
      <c r="AF3" s="41"/>
      <c r="AG3" s="41"/>
      <c r="AH3" s="42"/>
      <c r="AJ3" s="40" t="s">
        <v>39</v>
      </c>
      <c r="AK3" s="41"/>
      <c r="AL3" s="42"/>
    </row>
    <row r="4" spans="2:38" x14ac:dyDescent="0.25">
      <c r="E4" s="25">
        <f>IFERROR(IF($C$18&gt;0,1," "),"")</f>
        <v>1</v>
      </c>
      <c r="F4" s="26" t="str">
        <f>IFERROR(IF(C18&gt;0,TEXT(IF($E$4&gt;0,C18," "),"DD/MM/YYYY")," "),"")</f>
        <v>06/12/2019</v>
      </c>
      <c r="G4" s="27">
        <f>IFERROR(IF(E4=" "," ",F4-$C$11),"")</f>
        <v>-152</v>
      </c>
      <c r="H4" s="28">
        <f t="shared" ref="H4:H67" si="0">IFERROR(IF(E4=" "," ",IF($E4&lt;=$C$16,$G4*$C$14/IF(DAY(DATE(MID(F4,7,4),3,0))=29,366,365),$G4*$C$15/IF(DAY(DATE(MID(F4,7,4),3,0))=29,366,365))),"")</f>
        <v>-6.6593490410958897E-2</v>
      </c>
      <c r="I4" s="3">
        <f>IFERROR(IF(E4=" "," ",J1+H4+(J1*H4)),"")</f>
        <v>-6.6593490410958897E-2</v>
      </c>
      <c r="J4" s="3">
        <f t="shared" ref="J4:J67" si="1">IFERROR(IF($C$18=" "," ",1/(1+I4))," ")</f>
        <v>1.0713445746594146</v>
      </c>
      <c r="K4" s="3">
        <f>IFERROR(IF($C$18=" "," ",L1+J4),"")</f>
        <v>1.0713445746594146</v>
      </c>
      <c r="L4" s="30">
        <f t="shared" ref="L4:L63" si="2">IFERROR(TRUNC(IF($C$18=" "," ",$C$13/K4),2),"")</f>
        <v>828.86</v>
      </c>
      <c r="M4" s="29">
        <f>IFERROR(IF(C13&gt;0,C13," "),"")</f>
        <v>888</v>
      </c>
      <c r="N4" s="29">
        <f>IFERROR(IF(AND(Q2="N",Q4="Y"),SUM(W4:X4),IF(AND(Q2="Y",Q4="N"),SUM(W4:X4),TRUNC((M4+(0*(-1)))*(H4)+(0*(-1)),2))),"")</f>
        <v>-59.13</v>
      </c>
      <c r="O4" s="29">
        <f t="shared" ref="O4:O67" si="3">IFERROR(IF($C$17=E4,M4,TRUNC($C$19-N4,2)),"")</f>
        <v>101.41</v>
      </c>
      <c r="P4" s="29">
        <f t="shared" ref="P4:P67" si="4">IF(TRUNC(SUM(N4:O4),2)&lt;=0,"",TRUNC(SUM(N4:O4),2))</f>
        <v>42.28</v>
      </c>
      <c r="Q4" s="23" t="str">
        <f t="shared" ref="Q4:Q35" si="5">IFERROR(IF(IF(DAY(DATE(MID(F4,7,4),3,0))=29,366,365)=366,"Y","N"),"")</f>
        <v>N</v>
      </c>
      <c r="R4" s="5" t="str">
        <f>TEXT(IF(AND(Q2="N",Q4="Y"),EDATE($F$4,E4-2),IF(AND(Q2="Y",Q4="N"),EDATE($F$4,E4-2),"")),"DD/MM/YYYY")</f>
        <v/>
      </c>
      <c r="S4" s="5" t="str">
        <f>TEXT(IFERROR(DATE(YEAR(R4),12,31),""),"DD/MM/YYYY")</f>
        <v/>
      </c>
      <c r="T4" s="5" t="str">
        <f>TEXT(IFERROR(EDATE($R4,1),""),"DD/MM/YYYY")</f>
        <v/>
      </c>
      <c r="U4" s="4" t="str">
        <f t="shared" ref="U4:U35" si="6">IFERROR(IF(E4=" "," ",IF($E4&lt;=$C$16,SUM(S4-R4)*$C$14/IF(DAY(DATE(MID(S4,7,4),3,0))=29,366,365),SUM(S4-R4)*$C$15/IF(DAY(DATE(MID(S4,7,4),3,0))=29,366,365))),"")</f>
        <v/>
      </c>
      <c r="V4" s="6" t="str">
        <f t="shared" ref="V4:V35" si="7">IFERROR(IF(E4=" "," ",IF($E4&lt;=$C$16,SUM(T4-S4)*$C$14/IF(DAY(DATE(MID(T4,7,4),3,0))=29,366,365),SUM(T4-S4)*$C$15/IF(DAY(DATE(MID(T4,7,4),3,0))=29,366,365))),"")</f>
        <v/>
      </c>
      <c r="W4" s="22" t="str">
        <f t="shared" ref="W4:W35" si="8">IFERROR(TRUNC(U4*M4,2),"")</f>
        <v/>
      </c>
      <c r="X4" s="22" t="str">
        <f t="shared" ref="X4:X35" si="9">IFERROR(TRUNC(V4*M4,2),"")</f>
        <v/>
      </c>
      <c r="Y4" s="22"/>
      <c r="Z4" s="1">
        <v>1</v>
      </c>
      <c r="AA4" s="1">
        <v>1</v>
      </c>
      <c r="AB4" s="1" t="s">
        <v>38</v>
      </c>
      <c r="AC4" s="2">
        <v>43805</v>
      </c>
      <c r="AD4" s="2">
        <v>43780</v>
      </c>
      <c r="AE4" s="36">
        <v>43.37</v>
      </c>
      <c r="AF4" s="36">
        <v>33.65</v>
      </c>
      <c r="AG4" s="36">
        <v>9.7200000000000006</v>
      </c>
      <c r="AJ4" s="34">
        <f t="shared" ref="AJ4:AJ27" si="10">AE4-P4</f>
        <v>1.0899999999999963</v>
      </c>
      <c r="AK4" s="34">
        <f t="shared" ref="AK4:AK27" si="11">AF4-O4</f>
        <v>-67.759999999999991</v>
      </c>
      <c r="AL4" s="34">
        <f t="shared" ref="AL4:AL27" si="12">N4-AG4</f>
        <v>-68.850000000000009</v>
      </c>
    </row>
    <row r="5" spans="2:38" x14ac:dyDescent="0.25">
      <c r="B5" s="37" t="s">
        <v>0</v>
      </c>
      <c r="C5" s="38"/>
      <c r="E5" s="25">
        <f t="shared" ref="E5:E68" si="13">IFERROR(IF($E4&lt;$C$17,E4+1," "),"")</f>
        <v>2</v>
      </c>
      <c r="F5" s="26" t="str">
        <f t="shared" ref="F5:F68" si="14">IFERROR(TEXT(IF($E5&lt;=$C$17,EDATE($F$4,E5 - 1)," "),"DD/MM/YYYY"),"")</f>
        <v>12/07/2019</v>
      </c>
      <c r="G5" s="27">
        <f t="shared" ref="G5:G68" si="15">IFERROR(IF(E5=" "," ",F5-F4),"")</f>
        <v>178</v>
      </c>
      <c r="H5" s="28">
        <f t="shared" si="0"/>
        <v>7.7984482191780821E-2</v>
      </c>
      <c r="I5" s="3">
        <f t="shared" ref="I5:I68" si="16">IFERROR(IF(E5=" "," ",ROUND(I4+H5+(I4*H5),6)),"")</f>
        <v>6.1980000000000004E-3</v>
      </c>
      <c r="J5" s="3">
        <f t="shared" si="1"/>
        <v>0.99384017857320339</v>
      </c>
      <c r="K5" s="3">
        <f t="shared" ref="K5:K68" si="17">IFERROR(IF($C$18=" "," ",K4+J5),"")</f>
        <v>2.065184753232618</v>
      </c>
      <c r="L5" s="30">
        <f t="shared" si="2"/>
        <v>429.98</v>
      </c>
      <c r="M5" s="29">
        <f t="shared" ref="M5:M68" si="18">IFERROR(IF(IF($M4&gt;0,($M4-$O4)," ")&lt;=0,"",IF($M4&gt;0,($M4-$O4)," ")),"")</f>
        <v>786.59</v>
      </c>
      <c r="N5" s="29">
        <f>IFERROR(IF(AND(Q4="N",Q5="Y"),SUM(W5:X5),IF(AND(Q4="Y",Q5="N"),SUM(W5:X5),TRUNC((M5+(0*(-1)))*(H5)+(0*(-1)),2))),"")</f>
        <v>61.34</v>
      </c>
      <c r="O5" s="29">
        <f t="shared" si="3"/>
        <v>-19.059999999999999</v>
      </c>
      <c r="P5" s="29">
        <f t="shared" si="4"/>
        <v>42.28</v>
      </c>
      <c r="Q5" s="23" t="str">
        <f t="shared" si="5"/>
        <v>N</v>
      </c>
      <c r="R5" s="5" t="str">
        <f t="shared" ref="R5:R36" si="19">TEXT(IF(AND(Q4="N",Q5="Y"),EDATE($F$4,E5-2),IF(AND(Q4="Y",Q5="N"),EDATE($F$4,E5-2),"")),"DD/MM/YYYY")</f>
        <v/>
      </c>
      <c r="S5" s="5" t="str">
        <f t="shared" ref="S5:S68" si="20">TEXT(IFERROR(DATE(YEAR(R5),12,31),""),"DD/MM/YYYY")</f>
        <v/>
      </c>
      <c r="T5" s="5" t="str">
        <f t="shared" ref="T5:T68" si="21">TEXT(IFERROR(EDATE($R5,1),""),"DD/MM/YYYY")</f>
        <v/>
      </c>
      <c r="U5" s="4" t="str">
        <f t="shared" si="6"/>
        <v/>
      </c>
      <c r="V5" s="6" t="str">
        <f t="shared" si="7"/>
        <v/>
      </c>
      <c r="W5" s="22" t="str">
        <f t="shared" si="8"/>
        <v/>
      </c>
      <c r="X5" s="22" t="str">
        <f t="shared" si="9"/>
        <v/>
      </c>
      <c r="Y5" s="22"/>
      <c r="Z5" s="1">
        <v>2</v>
      </c>
      <c r="AA5" s="1">
        <v>1</v>
      </c>
      <c r="AB5" s="1" t="s">
        <v>38</v>
      </c>
      <c r="AC5" s="2">
        <v>43836</v>
      </c>
      <c r="AD5" s="2">
        <v>43780</v>
      </c>
      <c r="AE5" s="36">
        <v>43.37</v>
      </c>
      <c r="AF5" s="36">
        <v>31.78</v>
      </c>
      <c r="AG5" s="36">
        <v>11.59</v>
      </c>
      <c r="AJ5" s="34">
        <f t="shared" si="10"/>
        <v>1.0899999999999963</v>
      </c>
      <c r="AK5" s="34">
        <f t="shared" si="11"/>
        <v>50.84</v>
      </c>
      <c r="AL5" s="34">
        <f t="shared" si="12"/>
        <v>49.75</v>
      </c>
    </row>
    <row r="6" spans="2:38" x14ac:dyDescent="0.25">
      <c r="E6" s="25">
        <f t="shared" si="13"/>
        <v>3</v>
      </c>
      <c r="F6" s="26" t="str">
        <f t="shared" si="14"/>
        <v>12/08/2019</v>
      </c>
      <c r="G6" s="27">
        <f t="shared" si="15"/>
        <v>1</v>
      </c>
      <c r="H6" s="28">
        <f t="shared" si="0"/>
        <v>4.381150684931507E-4</v>
      </c>
      <c r="I6" s="3">
        <f t="shared" si="16"/>
        <v>6.6389999999999999E-3</v>
      </c>
      <c r="J6" s="3">
        <f t="shared" si="1"/>
        <v>0.99340478562821422</v>
      </c>
      <c r="K6" s="3">
        <f t="shared" si="17"/>
        <v>3.058589538860832</v>
      </c>
      <c r="L6" s="30">
        <f t="shared" si="2"/>
        <v>290.32</v>
      </c>
      <c r="M6" s="29">
        <f t="shared" si="18"/>
        <v>805.65</v>
      </c>
      <c r="N6" s="29">
        <f t="shared" ref="N6:N69" si="22">IFERROR(IF(AND(Q5="N",Q6="Y"),SUM(W6:X6),IF(AND(Q5="Y",Q6="N"),SUM(W6:X6),TRUNC((M6+(0*(-1)))*(H6)+(0*(-1)),2))),"")</f>
        <v>0.35</v>
      </c>
      <c r="O6" s="29">
        <f t="shared" si="3"/>
        <v>41.93</v>
      </c>
      <c r="P6" s="29">
        <f t="shared" si="4"/>
        <v>42.28</v>
      </c>
      <c r="Q6" s="23" t="str">
        <f t="shared" si="5"/>
        <v>N</v>
      </c>
      <c r="R6" s="5" t="str">
        <f t="shared" si="19"/>
        <v/>
      </c>
      <c r="S6" s="5" t="str">
        <f t="shared" si="20"/>
        <v/>
      </c>
      <c r="T6" s="5" t="str">
        <f t="shared" si="21"/>
        <v/>
      </c>
      <c r="U6" s="4" t="str">
        <f t="shared" si="6"/>
        <v/>
      </c>
      <c r="V6" s="6" t="str">
        <f t="shared" si="7"/>
        <v/>
      </c>
      <c r="W6" s="22" t="str">
        <f t="shared" si="8"/>
        <v/>
      </c>
      <c r="X6" s="22" t="str">
        <f t="shared" si="9"/>
        <v/>
      </c>
      <c r="Y6" s="22"/>
      <c r="Z6" s="1">
        <v>3</v>
      </c>
      <c r="AA6" s="1">
        <v>1</v>
      </c>
      <c r="AB6" s="1" t="s">
        <v>38</v>
      </c>
      <c r="AC6" s="2">
        <v>43867</v>
      </c>
      <c r="AD6" s="2">
        <v>43780</v>
      </c>
      <c r="AE6" s="36">
        <v>43.37</v>
      </c>
      <c r="AF6" s="36">
        <v>32.229999999999997</v>
      </c>
      <c r="AG6" s="36">
        <v>11.14</v>
      </c>
      <c r="AJ6" s="34">
        <f t="shared" si="10"/>
        <v>1.0899999999999963</v>
      </c>
      <c r="AK6" s="34">
        <f t="shared" si="11"/>
        <v>-9.7000000000000028</v>
      </c>
      <c r="AL6" s="34">
        <f t="shared" si="12"/>
        <v>-10.790000000000001</v>
      </c>
    </row>
    <row r="7" spans="2:38" x14ac:dyDescent="0.25">
      <c r="B7" s="18" t="s">
        <v>16</v>
      </c>
      <c r="C7" s="17" t="s">
        <v>48</v>
      </c>
      <c r="E7" s="25">
        <f t="shared" si="13"/>
        <v>4</v>
      </c>
      <c r="F7" s="26" t="str">
        <f t="shared" si="14"/>
        <v>12/09/2019</v>
      </c>
      <c r="G7" s="27">
        <f t="shared" si="15"/>
        <v>1</v>
      </c>
      <c r="H7" s="28">
        <f t="shared" si="0"/>
        <v>4.381150684931507E-4</v>
      </c>
      <c r="I7" s="3">
        <f t="shared" si="16"/>
        <v>7.0800000000000004E-3</v>
      </c>
      <c r="J7" s="3">
        <f t="shared" si="1"/>
        <v>0.99296977400007946</v>
      </c>
      <c r="K7" s="3">
        <f t="shared" si="17"/>
        <v>4.0515593128609115</v>
      </c>
      <c r="L7" s="30">
        <f t="shared" si="2"/>
        <v>219.17</v>
      </c>
      <c r="M7" s="29">
        <f t="shared" si="18"/>
        <v>763.72</v>
      </c>
      <c r="N7" s="29">
        <f t="shared" si="22"/>
        <v>0.33</v>
      </c>
      <c r="O7" s="29">
        <f t="shared" si="3"/>
        <v>41.95</v>
      </c>
      <c r="P7" s="29">
        <f t="shared" si="4"/>
        <v>42.28</v>
      </c>
      <c r="Q7" s="23" t="str">
        <f t="shared" si="5"/>
        <v>N</v>
      </c>
      <c r="R7" s="5" t="str">
        <f t="shared" si="19"/>
        <v/>
      </c>
      <c r="S7" s="5" t="str">
        <f t="shared" si="20"/>
        <v/>
      </c>
      <c r="T7" s="5" t="str">
        <f t="shared" si="21"/>
        <v/>
      </c>
      <c r="U7" s="4" t="str">
        <f t="shared" si="6"/>
        <v/>
      </c>
      <c r="V7" s="6" t="str">
        <f t="shared" si="7"/>
        <v/>
      </c>
      <c r="W7" s="22" t="str">
        <f t="shared" si="8"/>
        <v/>
      </c>
      <c r="X7" s="22" t="str">
        <f t="shared" si="9"/>
        <v/>
      </c>
      <c r="Y7" s="22"/>
      <c r="Z7" s="1">
        <v>4</v>
      </c>
      <c r="AA7" s="1">
        <v>1</v>
      </c>
      <c r="AB7" s="1" t="s">
        <v>38</v>
      </c>
      <c r="AC7" s="2">
        <v>43896</v>
      </c>
      <c r="AD7" s="2">
        <v>43780</v>
      </c>
      <c r="AE7" s="36">
        <v>43.37</v>
      </c>
      <c r="AF7" s="36">
        <v>33.36</v>
      </c>
      <c r="AG7" s="36">
        <v>10.01</v>
      </c>
      <c r="AJ7" s="34">
        <f t="shared" si="10"/>
        <v>1.0899999999999963</v>
      </c>
      <c r="AK7" s="34">
        <f t="shared" si="11"/>
        <v>-8.5900000000000034</v>
      </c>
      <c r="AL7" s="34">
        <f t="shared" si="12"/>
        <v>-9.68</v>
      </c>
    </row>
    <row r="8" spans="2:38" x14ac:dyDescent="0.25">
      <c r="E8" s="25">
        <f t="shared" si="13"/>
        <v>5</v>
      </c>
      <c r="F8" s="26" t="str">
        <f t="shared" si="14"/>
        <v>12/10/2019</v>
      </c>
      <c r="G8" s="27">
        <f t="shared" si="15"/>
        <v>1</v>
      </c>
      <c r="H8" s="28">
        <f t="shared" si="0"/>
        <v>4.381150684931507E-4</v>
      </c>
      <c r="I8" s="3">
        <f t="shared" si="16"/>
        <v>7.5209999999999999E-3</v>
      </c>
      <c r="J8" s="3">
        <f t="shared" si="1"/>
        <v>0.99253514318808234</v>
      </c>
      <c r="K8" s="3">
        <f t="shared" si="17"/>
        <v>5.0440944560489935</v>
      </c>
      <c r="L8" s="30">
        <f t="shared" si="2"/>
        <v>176.04</v>
      </c>
      <c r="M8" s="29">
        <f t="shared" si="18"/>
        <v>721.77</v>
      </c>
      <c r="N8" s="29">
        <f t="shared" si="22"/>
        <v>0.31</v>
      </c>
      <c r="O8" s="29">
        <f t="shared" si="3"/>
        <v>41.97</v>
      </c>
      <c r="P8" s="29">
        <f t="shared" si="4"/>
        <v>42.28</v>
      </c>
      <c r="Q8" s="23" t="str">
        <f t="shared" si="5"/>
        <v>N</v>
      </c>
      <c r="R8" s="5" t="str">
        <f t="shared" si="19"/>
        <v/>
      </c>
      <c r="S8" s="5" t="str">
        <f t="shared" si="20"/>
        <v/>
      </c>
      <c r="T8" s="5" t="str">
        <f t="shared" si="21"/>
        <v/>
      </c>
      <c r="U8" s="4" t="str">
        <f t="shared" si="6"/>
        <v/>
      </c>
      <c r="V8" s="6" t="str">
        <f t="shared" si="7"/>
        <v/>
      </c>
      <c r="W8" s="22" t="str">
        <f t="shared" si="8"/>
        <v/>
      </c>
      <c r="X8" s="22" t="str">
        <f t="shared" si="9"/>
        <v/>
      </c>
      <c r="Y8" s="22"/>
      <c r="Z8" s="1">
        <v>5</v>
      </c>
      <c r="AA8" s="1">
        <v>1</v>
      </c>
      <c r="AB8" s="1" t="s">
        <v>38</v>
      </c>
      <c r="AC8" s="2">
        <v>43927</v>
      </c>
      <c r="AD8" s="2">
        <v>43780</v>
      </c>
      <c r="AE8" s="36">
        <v>43.37</v>
      </c>
      <c r="AF8" s="36">
        <v>33.119999999999997</v>
      </c>
      <c r="AG8" s="36">
        <v>10.25</v>
      </c>
      <c r="AJ8" s="34">
        <f t="shared" si="10"/>
        <v>1.0899999999999963</v>
      </c>
      <c r="AK8" s="34">
        <f t="shared" si="11"/>
        <v>-8.8500000000000014</v>
      </c>
      <c r="AL8" s="34">
        <f t="shared" si="12"/>
        <v>-9.94</v>
      </c>
    </row>
    <row r="9" spans="2:38" x14ac:dyDescent="0.25">
      <c r="B9" s="37" t="s">
        <v>15</v>
      </c>
      <c r="C9" s="38"/>
      <c r="E9" s="25">
        <f t="shared" si="13"/>
        <v>6</v>
      </c>
      <c r="F9" s="26" t="str">
        <f t="shared" si="14"/>
        <v>12/11/2019</v>
      </c>
      <c r="G9" s="27">
        <f t="shared" si="15"/>
        <v>1</v>
      </c>
      <c r="H9" s="28">
        <f t="shared" si="0"/>
        <v>4.381150684931507E-4</v>
      </c>
      <c r="I9" s="3">
        <f t="shared" si="16"/>
        <v>7.9620000000000003E-3</v>
      </c>
      <c r="J9" s="3">
        <f t="shared" si="1"/>
        <v>0.99210089269238322</v>
      </c>
      <c r="K9" s="3">
        <f t="shared" si="17"/>
        <v>6.0361953487413764</v>
      </c>
      <c r="L9" s="30">
        <f t="shared" si="2"/>
        <v>147.11000000000001</v>
      </c>
      <c r="M9" s="29">
        <f t="shared" si="18"/>
        <v>679.8</v>
      </c>
      <c r="N9" s="29">
        <f t="shared" si="22"/>
        <v>0.28999999999999998</v>
      </c>
      <c r="O9" s="29">
        <f t="shared" si="3"/>
        <v>41.99</v>
      </c>
      <c r="P9" s="29">
        <f t="shared" si="4"/>
        <v>42.28</v>
      </c>
      <c r="Q9" s="23" t="str">
        <f t="shared" si="5"/>
        <v>N</v>
      </c>
      <c r="R9" s="5" t="str">
        <f t="shared" si="19"/>
        <v/>
      </c>
      <c r="S9" s="5" t="str">
        <f t="shared" si="20"/>
        <v/>
      </c>
      <c r="T9" s="5" t="str">
        <f t="shared" si="21"/>
        <v/>
      </c>
      <c r="U9" s="4" t="str">
        <f t="shared" si="6"/>
        <v/>
      </c>
      <c r="V9" s="6" t="str">
        <f t="shared" si="7"/>
        <v/>
      </c>
      <c r="W9" s="22" t="str">
        <f t="shared" si="8"/>
        <v/>
      </c>
      <c r="X9" s="22" t="str">
        <f t="shared" si="9"/>
        <v/>
      </c>
      <c r="Y9" s="22"/>
      <c r="Z9" s="1">
        <v>6</v>
      </c>
      <c r="AA9" s="1">
        <v>1</v>
      </c>
      <c r="AB9" s="1" t="s">
        <v>38</v>
      </c>
      <c r="AC9" s="2">
        <v>43957</v>
      </c>
      <c r="AD9" s="2">
        <v>43780</v>
      </c>
      <c r="AE9" s="36">
        <v>43.37</v>
      </c>
      <c r="AF9" s="36">
        <v>33.89</v>
      </c>
      <c r="AG9" s="36">
        <v>9.48</v>
      </c>
      <c r="AJ9" s="34">
        <f t="shared" si="10"/>
        <v>1.0899999999999963</v>
      </c>
      <c r="AK9" s="34">
        <f t="shared" si="11"/>
        <v>-8.1000000000000014</v>
      </c>
      <c r="AL9" s="34">
        <f t="shared" si="12"/>
        <v>-9.1900000000000013</v>
      </c>
    </row>
    <row r="10" spans="2:38" x14ac:dyDescent="0.25">
      <c r="E10" s="25">
        <f t="shared" si="13"/>
        <v>7</v>
      </c>
      <c r="F10" s="26" t="str">
        <f t="shared" si="14"/>
        <v>12/12/2019</v>
      </c>
      <c r="G10" s="27">
        <f t="shared" si="15"/>
        <v>1</v>
      </c>
      <c r="H10" s="28">
        <f t="shared" si="0"/>
        <v>4.381150684931507E-4</v>
      </c>
      <c r="I10" s="3">
        <f t="shared" si="16"/>
        <v>8.404E-3</v>
      </c>
      <c r="J10" s="3">
        <f t="shared" si="1"/>
        <v>0.99166603861150882</v>
      </c>
      <c r="K10" s="3">
        <f t="shared" si="17"/>
        <v>7.0278613873528855</v>
      </c>
      <c r="L10" s="30">
        <f t="shared" si="2"/>
        <v>126.35</v>
      </c>
      <c r="M10" s="29">
        <f t="shared" si="18"/>
        <v>637.80999999999995</v>
      </c>
      <c r="N10" s="29">
        <f t="shared" si="22"/>
        <v>0.27</v>
      </c>
      <c r="O10" s="29">
        <f t="shared" si="3"/>
        <v>42.01</v>
      </c>
      <c r="P10" s="29">
        <f t="shared" si="4"/>
        <v>42.28</v>
      </c>
      <c r="Q10" s="23" t="str">
        <f t="shared" si="5"/>
        <v>N</v>
      </c>
      <c r="R10" s="5" t="str">
        <f t="shared" si="19"/>
        <v/>
      </c>
      <c r="S10" s="5" t="str">
        <f t="shared" si="20"/>
        <v/>
      </c>
      <c r="T10" s="5" t="str">
        <f t="shared" si="21"/>
        <v/>
      </c>
      <c r="U10" s="4" t="str">
        <f t="shared" si="6"/>
        <v/>
      </c>
      <c r="V10" s="6" t="str">
        <f t="shared" si="7"/>
        <v/>
      </c>
      <c r="W10" s="22" t="str">
        <f t="shared" si="8"/>
        <v/>
      </c>
      <c r="X10" s="22" t="str">
        <f t="shared" si="9"/>
        <v/>
      </c>
      <c r="Y10" s="22"/>
      <c r="Z10" s="1">
        <v>7</v>
      </c>
      <c r="AA10" s="1">
        <v>1</v>
      </c>
      <c r="AB10" s="1" t="s">
        <v>38</v>
      </c>
      <c r="AC10" s="2">
        <v>43988</v>
      </c>
      <c r="AD10" s="2">
        <v>43780</v>
      </c>
      <c r="AE10" s="36">
        <v>43.37</v>
      </c>
      <c r="AF10" s="36">
        <v>34.03</v>
      </c>
      <c r="AG10" s="36">
        <v>9.34</v>
      </c>
      <c r="AJ10" s="34">
        <f t="shared" si="10"/>
        <v>1.0899999999999963</v>
      </c>
      <c r="AK10" s="34">
        <f t="shared" si="11"/>
        <v>-7.9799999999999969</v>
      </c>
      <c r="AL10" s="34">
        <f t="shared" si="12"/>
        <v>-9.07</v>
      </c>
    </row>
    <row r="11" spans="2:38" x14ac:dyDescent="0.25">
      <c r="B11" s="16" t="s">
        <v>14</v>
      </c>
      <c r="C11" s="15">
        <v>43780</v>
      </c>
      <c r="E11" s="25">
        <f t="shared" si="13"/>
        <v>8</v>
      </c>
      <c r="F11" s="26" t="str">
        <f t="shared" si="14"/>
        <v>12/01/2020</v>
      </c>
      <c r="G11" s="27">
        <f t="shared" si="15"/>
        <v>355</v>
      </c>
      <c r="H11" s="28">
        <f t="shared" si="0"/>
        <v>0.15510590163934426</v>
      </c>
      <c r="I11" s="3">
        <f t="shared" si="16"/>
        <v>0.16481299999999999</v>
      </c>
      <c r="J11" s="3">
        <f t="shared" si="1"/>
        <v>0.85850690196623825</v>
      </c>
      <c r="K11" s="3">
        <f t="shared" si="17"/>
        <v>7.8863682893191234</v>
      </c>
      <c r="L11" s="30">
        <f t="shared" si="2"/>
        <v>112.59</v>
      </c>
      <c r="M11" s="29">
        <f t="shared" si="18"/>
        <v>595.79999999999995</v>
      </c>
      <c r="N11" s="29">
        <f t="shared" si="22"/>
        <v>0</v>
      </c>
      <c r="O11" s="29">
        <f t="shared" si="3"/>
        <v>42.28</v>
      </c>
      <c r="P11" s="29">
        <f t="shared" si="4"/>
        <v>42.28</v>
      </c>
      <c r="Q11" s="23" t="str">
        <f t="shared" si="5"/>
        <v>Y</v>
      </c>
      <c r="R11" s="5" t="str">
        <f t="shared" si="19"/>
        <v>12/12/2019</v>
      </c>
      <c r="S11" s="5" t="str">
        <f t="shared" si="20"/>
        <v>31/12/2019</v>
      </c>
      <c r="T11" s="5" t="str">
        <f t="shared" si="21"/>
        <v>12/01/2020</v>
      </c>
      <c r="U11" s="4" t="str">
        <f t="shared" si="6"/>
        <v/>
      </c>
      <c r="V11" s="6" t="str">
        <f t="shared" si="7"/>
        <v/>
      </c>
      <c r="W11" s="22" t="str">
        <f t="shared" si="8"/>
        <v/>
      </c>
      <c r="X11" s="22" t="str">
        <f t="shared" si="9"/>
        <v/>
      </c>
      <c r="Y11" s="22"/>
      <c r="Z11" s="1">
        <v>8</v>
      </c>
      <c r="AA11" s="1">
        <v>1</v>
      </c>
      <c r="AB11" s="1" t="s">
        <v>38</v>
      </c>
      <c r="AC11" s="2">
        <v>44018</v>
      </c>
      <c r="AD11" s="2">
        <v>43780</v>
      </c>
      <c r="AE11" s="36">
        <v>43.37</v>
      </c>
      <c r="AF11" s="36">
        <v>34.78</v>
      </c>
      <c r="AG11" s="36">
        <v>8.59</v>
      </c>
      <c r="AJ11" s="34">
        <f t="shared" si="10"/>
        <v>1.0899999999999963</v>
      </c>
      <c r="AK11" s="34">
        <f t="shared" si="11"/>
        <v>-7.5</v>
      </c>
      <c r="AL11" s="34">
        <f t="shared" si="12"/>
        <v>-8.59</v>
      </c>
    </row>
    <row r="12" spans="2:38" x14ac:dyDescent="0.25">
      <c r="B12" s="11" t="s">
        <v>33</v>
      </c>
      <c r="C12" s="32" t="s">
        <v>47</v>
      </c>
      <c r="E12" s="25">
        <f t="shared" si="13"/>
        <v>9</v>
      </c>
      <c r="F12" s="26" t="str">
        <f t="shared" si="14"/>
        <v>12/02/2020</v>
      </c>
      <c r="G12" s="27">
        <f t="shared" si="15"/>
        <v>1</v>
      </c>
      <c r="H12" s="28">
        <f t="shared" si="0"/>
        <v>4.3691803278688525E-4</v>
      </c>
      <c r="I12" s="3">
        <f t="shared" si="16"/>
        <v>0.165322</v>
      </c>
      <c r="J12" s="3">
        <f t="shared" si="1"/>
        <v>0.85813191547057377</v>
      </c>
      <c r="K12" s="3">
        <f t="shared" si="17"/>
        <v>8.7445002047896967</v>
      </c>
      <c r="L12" s="30">
        <f t="shared" si="2"/>
        <v>101.54</v>
      </c>
      <c r="M12" s="29">
        <f t="shared" si="18"/>
        <v>553.52</v>
      </c>
      <c r="N12" s="29">
        <f t="shared" si="22"/>
        <v>0.24</v>
      </c>
      <c r="O12" s="29">
        <f t="shared" si="3"/>
        <v>42.04</v>
      </c>
      <c r="P12" s="29">
        <f t="shared" si="4"/>
        <v>42.28</v>
      </c>
      <c r="Q12" s="23" t="str">
        <f t="shared" si="5"/>
        <v>Y</v>
      </c>
      <c r="R12" s="5" t="str">
        <f t="shared" si="19"/>
        <v/>
      </c>
      <c r="S12" s="5" t="str">
        <f t="shared" si="20"/>
        <v/>
      </c>
      <c r="T12" s="5" t="str">
        <f t="shared" si="21"/>
        <v/>
      </c>
      <c r="U12" s="4" t="str">
        <f t="shared" si="6"/>
        <v/>
      </c>
      <c r="V12" s="6" t="str">
        <f t="shared" si="7"/>
        <v/>
      </c>
      <c r="W12" s="22" t="str">
        <f t="shared" si="8"/>
        <v/>
      </c>
      <c r="X12" s="22" t="str">
        <f t="shared" si="9"/>
        <v/>
      </c>
      <c r="Y12" s="22"/>
      <c r="Z12" s="1">
        <v>9</v>
      </c>
      <c r="AA12" s="1">
        <v>1</v>
      </c>
      <c r="AB12" s="1" t="s">
        <v>38</v>
      </c>
      <c r="AC12" s="2">
        <v>44049</v>
      </c>
      <c r="AD12" s="2">
        <v>43780</v>
      </c>
      <c r="AE12" s="36">
        <v>43.37</v>
      </c>
      <c r="AF12" s="36">
        <v>34.96</v>
      </c>
      <c r="AG12" s="36">
        <v>8.41</v>
      </c>
      <c r="AJ12" s="34">
        <f t="shared" si="10"/>
        <v>1.0899999999999963</v>
      </c>
      <c r="AK12" s="34">
        <f t="shared" si="11"/>
        <v>-7.0799999999999983</v>
      </c>
      <c r="AL12" s="34">
        <f t="shared" si="12"/>
        <v>-8.17</v>
      </c>
    </row>
    <row r="13" spans="2:38" x14ac:dyDescent="0.25">
      <c r="B13" s="11" t="s">
        <v>13</v>
      </c>
      <c r="C13" s="14">
        <v>888</v>
      </c>
      <c r="E13" s="25">
        <f t="shared" si="13"/>
        <v>10</v>
      </c>
      <c r="F13" s="26" t="str">
        <f t="shared" si="14"/>
        <v>12/03/2020</v>
      </c>
      <c r="G13" s="27">
        <f t="shared" si="15"/>
        <v>1</v>
      </c>
      <c r="H13" s="28">
        <f t="shared" si="0"/>
        <v>4.3691803278688525E-4</v>
      </c>
      <c r="I13" s="3">
        <f t="shared" si="16"/>
        <v>0.16583100000000001</v>
      </c>
      <c r="J13" s="3">
        <f t="shared" si="1"/>
        <v>0.85775725641194989</v>
      </c>
      <c r="K13" s="3">
        <f t="shared" si="17"/>
        <v>9.6022574612016474</v>
      </c>
      <c r="L13" s="30">
        <f t="shared" si="2"/>
        <v>92.47</v>
      </c>
      <c r="M13" s="29">
        <f t="shared" si="18"/>
        <v>511.47999999999996</v>
      </c>
      <c r="N13" s="29">
        <f t="shared" si="22"/>
        <v>0.22</v>
      </c>
      <c r="O13" s="29">
        <f t="shared" si="3"/>
        <v>42.06</v>
      </c>
      <c r="P13" s="29">
        <f t="shared" si="4"/>
        <v>42.28</v>
      </c>
      <c r="Q13" s="23" t="str">
        <f t="shared" si="5"/>
        <v>Y</v>
      </c>
      <c r="R13" s="5" t="str">
        <f t="shared" si="19"/>
        <v/>
      </c>
      <c r="S13" s="5" t="str">
        <f t="shared" si="20"/>
        <v/>
      </c>
      <c r="T13" s="5" t="str">
        <f t="shared" si="21"/>
        <v/>
      </c>
      <c r="U13" s="4" t="str">
        <f t="shared" si="6"/>
        <v/>
      </c>
      <c r="V13" s="6" t="str">
        <f t="shared" si="7"/>
        <v/>
      </c>
      <c r="W13" s="22" t="str">
        <f t="shared" si="8"/>
        <v/>
      </c>
      <c r="X13" s="22" t="str">
        <f t="shared" si="9"/>
        <v/>
      </c>
      <c r="Y13" s="22"/>
      <c r="Z13" s="1">
        <v>10</v>
      </c>
      <c r="AA13" s="1">
        <v>1</v>
      </c>
      <c r="AB13" s="1" t="s">
        <v>38</v>
      </c>
      <c r="AC13" s="2">
        <v>44080</v>
      </c>
      <c r="AD13" s="2">
        <v>43780</v>
      </c>
      <c r="AE13" s="36">
        <v>43.37</v>
      </c>
      <c r="AF13" s="36">
        <v>35.44</v>
      </c>
      <c r="AG13" s="36">
        <v>7.93</v>
      </c>
      <c r="AJ13" s="34">
        <f t="shared" si="10"/>
        <v>1.0899999999999963</v>
      </c>
      <c r="AK13" s="34">
        <f t="shared" si="11"/>
        <v>-6.6200000000000045</v>
      </c>
      <c r="AL13" s="34">
        <f t="shared" si="12"/>
        <v>-7.71</v>
      </c>
    </row>
    <row r="14" spans="2:38" x14ac:dyDescent="0.25">
      <c r="B14" s="11" t="s">
        <v>12</v>
      </c>
      <c r="C14" s="13">
        <f>1.3326%*12</f>
        <v>0.159912</v>
      </c>
      <c r="E14" s="25">
        <f t="shared" si="13"/>
        <v>11</v>
      </c>
      <c r="F14" s="26" t="str">
        <f t="shared" si="14"/>
        <v>12/04/2020</v>
      </c>
      <c r="G14" s="27">
        <f t="shared" si="15"/>
        <v>1</v>
      </c>
      <c r="H14" s="28">
        <f t="shared" si="0"/>
        <v>4.3691803278688525E-4</v>
      </c>
      <c r="I14" s="3">
        <f t="shared" si="16"/>
        <v>0.16633999999999999</v>
      </c>
      <c r="J14" s="3">
        <f t="shared" si="1"/>
        <v>0.85738292436167851</v>
      </c>
      <c r="K14" s="3">
        <f t="shared" si="17"/>
        <v>10.459640385563326</v>
      </c>
      <c r="L14" s="30">
        <f t="shared" si="2"/>
        <v>84.89</v>
      </c>
      <c r="M14" s="29">
        <f t="shared" si="18"/>
        <v>469.41999999999996</v>
      </c>
      <c r="N14" s="29">
        <f t="shared" si="22"/>
        <v>0.2</v>
      </c>
      <c r="O14" s="29">
        <f t="shared" si="3"/>
        <v>42.08</v>
      </c>
      <c r="P14" s="29">
        <f t="shared" si="4"/>
        <v>42.28</v>
      </c>
      <c r="Q14" s="23" t="str">
        <f t="shared" si="5"/>
        <v>Y</v>
      </c>
      <c r="R14" s="5" t="str">
        <f t="shared" si="19"/>
        <v/>
      </c>
      <c r="S14" s="5" t="str">
        <f t="shared" si="20"/>
        <v/>
      </c>
      <c r="T14" s="5" t="str">
        <f t="shared" si="21"/>
        <v/>
      </c>
      <c r="U14" s="4" t="str">
        <f t="shared" si="6"/>
        <v/>
      </c>
      <c r="V14" s="6" t="str">
        <f t="shared" si="7"/>
        <v/>
      </c>
      <c r="W14" s="22" t="str">
        <f t="shared" si="8"/>
        <v/>
      </c>
      <c r="X14" s="22" t="str">
        <f t="shared" si="9"/>
        <v/>
      </c>
      <c r="Y14" s="22"/>
      <c r="Z14" s="1">
        <v>11</v>
      </c>
      <c r="AA14" s="1">
        <v>1</v>
      </c>
      <c r="AB14" s="1" t="s">
        <v>38</v>
      </c>
      <c r="AC14" s="2">
        <v>44110</v>
      </c>
      <c r="AD14" s="2">
        <v>43780</v>
      </c>
      <c r="AE14" s="36">
        <v>43.37</v>
      </c>
      <c r="AF14" s="36">
        <v>36.159999999999997</v>
      </c>
      <c r="AG14" s="36">
        <v>7.21</v>
      </c>
      <c r="AJ14" s="34">
        <f t="shared" si="10"/>
        <v>1.0899999999999963</v>
      </c>
      <c r="AK14" s="34">
        <f t="shared" si="11"/>
        <v>-5.9200000000000017</v>
      </c>
      <c r="AL14" s="34">
        <f t="shared" si="12"/>
        <v>-7.01</v>
      </c>
    </row>
    <row r="15" spans="2:38" x14ac:dyDescent="0.25">
      <c r="B15" s="11" t="s">
        <v>11</v>
      </c>
      <c r="C15" s="13">
        <f>1.3325%*12</f>
        <v>0.15989999999999999</v>
      </c>
      <c r="E15" s="25">
        <f t="shared" si="13"/>
        <v>12</v>
      </c>
      <c r="F15" s="26" t="str">
        <f t="shared" si="14"/>
        <v>12/05/2020</v>
      </c>
      <c r="G15" s="27">
        <f t="shared" si="15"/>
        <v>1</v>
      </c>
      <c r="H15" s="28">
        <f t="shared" si="0"/>
        <v>4.3691803278688525E-4</v>
      </c>
      <c r="I15" s="3">
        <f t="shared" si="16"/>
        <v>0.16685</v>
      </c>
      <c r="J15" s="3">
        <f t="shared" si="1"/>
        <v>0.85700818442816129</v>
      </c>
      <c r="K15" s="3">
        <f t="shared" si="17"/>
        <v>11.316648569991488</v>
      </c>
      <c r="L15" s="30">
        <f t="shared" si="2"/>
        <v>78.459999999999994</v>
      </c>
      <c r="M15" s="29">
        <f t="shared" si="18"/>
        <v>427.34</v>
      </c>
      <c r="N15" s="29">
        <f t="shared" si="22"/>
        <v>0.18</v>
      </c>
      <c r="O15" s="29">
        <f t="shared" si="3"/>
        <v>42.1</v>
      </c>
      <c r="P15" s="29">
        <f t="shared" si="4"/>
        <v>42.28</v>
      </c>
      <c r="Q15" s="23" t="str">
        <f t="shared" si="5"/>
        <v>Y</v>
      </c>
      <c r="R15" s="5" t="str">
        <f t="shared" si="19"/>
        <v/>
      </c>
      <c r="S15" s="5" t="str">
        <f t="shared" si="20"/>
        <v/>
      </c>
      <c r="T15" s="5" t="str">
        <f t="shared" si="21"/>
        <v/>
      </c>
      <c r="U15" s="4" t="str">
        <f t="shared" si="6"/>
        <v/>
      </c>
      <c r="V15" s="6" t="str">
        <f t="shared" si="7"/>
        <v/>
      </c>
      <c r="W15" s="22" t="str">
        <f t="shared" si="8"/>
        <v/>
      </c>
      <c r="X15" s="22" t="str">
        <f t="shared" si="9"/>
        <v/>
      </c>
      <c r="Y15" s="22"/>
      <c r="Z15" s="1">
        <v>12</v>
      </c>
      <c r="AA15" s="1">
        <v>1</v>
      </c>
      <c r="AB15" s="1" t="s">
        <v>38</v>
      </c>
      <c r="AC15" s="2">
        <v>44141</v>
      </c>
      <c r="AD15" s="2">
        <v>43780</v>
      </c>
      <c r="AE15" s="36">
        <v>43.37</v>
      </c>
      <c r="AF15" s="36">
        <v>36.409999999999997</v>
      </c>
      <c r="AG15" s="36">
        <v>6.96</v>
      </c>
      <c r="AJ15" s="34">
        <f t="shared" si="10"/>
        <v>1.0899999999999963</v>
      </c>
      <c r="AK15" s="34">
        <f t="shared" si="11"/>
        <v>-5.6900000000000048</v>
      </c>
      <c r="AL15" s="34">
        <f t="shared" si="12"/>
        <v>-6.78</v>
      </c>
    </row>
    <row r="16" spans="2:38" x14ac:dyDescent="0.25">
      <c r="B16" s="11" t="s">
        <v>10</v>
      </c>
      <c r="C16" s="12">
        <v>24</v>
      </c>
      <c r="E16" s="25">
        <f t="shared" si="13"/>
        <v>13</v>
      </c>
      <c r="F16" s="26" t="str">
        <f t="shared" si="14"/>
        <v>12/06/2020</v>
      </c>
      <c r="G16" s="27">
        <f t="shared" si="15"/>
        <v>1</v>
      </c>
      <c r="H16" s="28">
        <f t="shared" si="0"/>
        <v>4.3691803278688525E-4</v>
      </c>
      <c r="I16" s="3">
        <f t="shared" si="16"/>
        <v>0.16736000000000001</v>
      </c>
      <c r="J16" s="3">
        <f t="shared" si="1"/>
        <v>0.85663377192982459</v>
      </c>
      <c r="K16" s="3">
        <f t="shared" si="17"/>
        <v>12.173282341921313</v>
      </c>
      <c r="L16" s="30">
        <f t="shared" si="2"/>
        <v>72.94</v>
      </c>
      <c r="M16" s="29">
        <f t="shared" si="18"/>
        <v>385.23999999999995</v>
      </c>
      <c r="N16" s="29">
        <f t="shared" si="22"/>
        <v>0.16</v>
      </c>
      <c r="O16" s="29">
        <f t="shared" si="3"/>
        <v>42.12</v>
      </c>
      <c r="P16" s="29">
        <f t="shared" si="4"/>
        <v>42.28</v>
      </c>
      <c r="Q16" s="23" t="str">
        <f t="shared" si="5"/>
        <v>Y</v>
      </c>
      <c r="R16" s="5" t="str">
        <f t="shared" si="19"/>
        <v/>
      </c>
      <c r="S16" s="5" t="str">
        <f t="shared" si="20"/>
        <v/>
      </c>
      <c r="T16" s="5" t="str">
        <f t="shared" si="21"/>
        <v/>
      </c>
      <c r="U16" s="4" t="str">
        <f t="shared" si="6"/>
        <v/>
      </c>
      <c r="V16" s="6" t="str">
        <f t="shared" si="7"/>
        <v/>
      </c>
      <c r="W16" s="22" t="str">
        <f t="shared" si="8"/>
        <v/>
      </c>
      <c r="X16" s="22" t="str">
        <f t="shared" si="9"/>
        <v/>
      </c>
      <c r="Y16" s="22"/>
      <c r="Z16" s="1">
        <v>13</v>
      </c>
      <c r="AA16" s="1">
        <v>1</v>
      </c>
      <c r="AB16" s="1" t="s">
        <v>38</v>
      </c>
      <c r="AC16" s="2">
        <v>44171</v>
      </c>
      <c r="AD16" s="2">
        <v>43780</v>
      </c>
      <c r="AE16" s="36">
        <v>43.37</v>
      </c>
      <c r="AF16" s="36">
        <v>37.11</v>
      </c>
      <c r="AG16" s="36">
        <v>6.26</v>
      </c>
      <c r="AJ16" s="34">
        <f t="shared" si="10"/>
        <v>1.0899999999999963</v>
      </c>
      <c r="AK16" s="34">
        <f t="shared" si="11"/>
        <v>-5.009999999999998</v>
      </c>
      <c r="AL16" s="34">
        <f t="shared" si="12"/>
        <v>-6.1</v>
      </c>
    </row>
    <row r="17" spans="2:38" x14ac:dyDescent="0.25">
      <c r="B17" s="11" t="s">
        <v>9</v>
      </c>
      <c r="C17" s="12">
        <v>24</v>
      </c>
      <c r="E17" s="25">
        <f t="shared" si="13"/>
        <v>14</v>
      </c>
      <c r="F17" s="26" t="str">
        <f t="shared" si="14"/>
        <v>12/07/2020</v>
      </c>
      <c r="G17" s="27">
        <f t="shared" si="15"/>
        <v>1</v>
      </c>
      <c r="H17" s="28">
        <f t="shared" si="0"/>
        <v>4.3691803278688525E-4</v>
      </c>
      <c r="I17" s="3">
        <f t="shared" si="16"/>
        <v>0.16786999999999999</v>
      </c>
      <c r="J17" s="3">
        <f t="shared" si="1"/>
        <v>0.85625968643770289</v>
      </c>
      <c r="K17" s="3">
        <f t="shared" si="17"/>
        <v>13.029542028359016</v>
      </c>
      <c r="L17" s="30">
        <f t="shared" si="2"/>
        <v>68.150000000000006</v>
      </c>
      <c r="M17" s="29">
        <f t="shared" si="18"/>
        <v>343.11999999999995</v>
      </c>
      <c r="N17" s="29">
        <f t="shared" si="22"/>
        <v>0.14000000000000001</v>
      </c>
      <c r="O17" s="29">
        <f t="shared" si="3"/>
        <v>42.14</v>
      </c>
      <c r="P17" s="29">
        <f t="shared" si="4"/>
        <v>42.28</v>
      </c>
      <c r="Q17" s="23" t="str">
        <f t="shared" si="5"/>
        <v>Y</v>
      </c>
      <c r="R17" s="5" t="str">
        <f t="shared" si="19"/>
        <v/>
      </c>
      <c r="S17" s="5" t="str">
        <f t="shared" si="20"/>
        <v/>
      </c>
      <c r="T17" s="5" t="str">
        <f t="shared" si="21"/>
        <v/>
      </c>
      <c r="U17" s="4" t="str">
        <f t="shared" si="6"/>
        <v/>
      </c>
      <c r="V17" s="6" t="str">
        <f t="shared" si="7"/>
        <v/>
      </c>
      <c r="W17" s="22" t="str">
        <f t="shared" si="8"/>
        <v/>
      </c>
      <c r="X17" s="22" t="str">
        <f t="shared" si="9"/>
        <v/>
      </c>
      <c r="Y17" s="22"/>
      <c r="Z17" s="1">
        <v>14</v>
      </c>
      <c r="AA17" s="1">
        <v>1</v>
      </c>
      <c r="AB17" s="1" t="s">
        <v>38</v>
      </c>
      <c r="AC17" s="2">
        <v>44202</v>
      </c>
      <c r="AD17" s="2">
        <v>43780</v>
      </c>
      <c r="AE17" s="36">
        <v>43.37</v>
      </c>
      <c r="AF17" s="36">
        <v>37.4</v>
      </c>
      <c r="AG17" s="36">
        <v>5.97</v>
      </c>
      <c r="AJ17" s="34">
        <f t="shared" si="10"/>
        <v>1.0899999999999963</v>
      </c>
      <c r="AK17" s="34">
        <f t="shared" si="11"/>
        <v>-4.740000000000002</v>
      </c>
      <c r="AL17" s="34">
        <f t="shared" si="12"/>
        <v>-5.83</v>
      </c>
    </row>
    <row r="18" spans="2:38" x14ac:dyDescent="0.25">
      <c r="B18" s="11" t="s">
        <v>8</v>
      </c>
      <c r="C18" s="10">
        <v>43805</v>
      </c>
      <c r="E18" s="25">
        <f t="shared" si="13"/>
        <v>15</v>
      </c>
      <c r="F18" s="26" t="str">
        <f t="shared" si="14"/>
        <v>12/08/2020</v>
      </c>
      <c r="G18" s="27">
        <f t="shared" si="15"/>
        <v>1</v>
      </c>
      <c r="H18" s="28">
        <f t="shared" si="0"/>
        <v>4.3691803278688525E-4</v>
      </c>
      <c r="I18" s="3">
        <f t="shared" si="16"/>
        <v>0.16838</v>
      </c>
      <c r="J18" s="3">
        <f t="shared" si="1"/>
        <v>0.85588592752357973</v>
      </c>
      <c r="K18" s="3">
        <f t="shared" si="17"/>
        <v>13.885427955882596</v>
      </c>
      <c r="L18" s="30">
        <f t="shared" si="2"/>
        <v>63.95</v>
      </c>
      <c r="M18" s="29">
        <f t="shared" si="18"/>
        <v>300.97999999999996</v>
      </c>
      <c r="N18" s="29">
        <f t="shared" si="22"/>
        <v>0.13</v>
      </c>
      <c r="O18" s="29">
        <f t="shared" si="3"/>
        <v>42.15</v>
      </c>
      <c r="P18" s="29">
        <f t="shared" si="4"/>
        <v>42.28</v>
      </c>
      <c r="Q18" s="23" t="str">
        <f t="shared" si="5"/>
        <v>Y</v>
      </c>
      <c r="R18" s="5" t="str">
        <f t="shared" si="19"/>
        <v/>
      </c>
      <c r="S18" s="5" t="str">
        <f t="shared" si="20"/>
        <v/>
      </c>
      <c r="T18" s="5" t="str">
        <f t="shared" si="21"/>
        <v/>
      </c>
      <c r="U18" s="4" t="str">
        <f t="shared" si="6"/>
        <v/>
      </c>
      <c r="V18" s="6" t="str">
        <f t="shared" si="7"/>
        <v/>
      </c>
      <c r="W18" s="22" t="str">
        <f t="shared" si="8"/>
        <v/>
      </c>
      <c r="X18" s="22" t="str">
        <f t="shared" si="9"/>
        <v/>
      </c>
      <c r="Y18" s="22"/>
      <c r="Z18" s="1">
        <v>15</v>
      </c>
      <c r="AA18" s="1">
        <v>1</v>
      </c>
      <c r="AB18" s="1" t="s">
        <v>38</v>
      </c>
      <c r="AC18" s="2">
        <v>44233</v>
      </c>
      <c r="AD18" s="2">
        <v>43780</v>
      </c>
      <c r="AE18" s="36">
        <v>43.37</v>
      </c>
      <c r="AF18" s="36">
        <v>37.89</v>
      </c>
      <c r="AG18" s="36">
        <v>5.48</v>
      </c>
      <c r="AJ18" s="34">
        <f t="shared" si="10"/>
        <v>1.0899999999999963</v>
      </c>
      <c r="AK18" s="34">
        <f t="shared" si="11"/>
        <v>-4.259999999999998</v>
      </c>
      <c r="AL18" s="34">
        <f t="shared" si="12"/>
        <v>-5.3500000000000005</v>
      </c>
    </row>
    <row r="19" spans="2:38" x14ac:dyDescent="0.25">
      <c r="B19" s="9" t="s">
        <v>7</v>
      </c>
      <c r="C19" s="8">
        <f>IFERROR(TRUNC(VLOOKUP($C$17,$E$4:$L$69,8),2),"")</f>
        <v>42.28</v>
      </c>
      <c r="E19" s="25">
        <f t="shared" si="13"/>
        <v>16</v>
      </c>
      <c r="F19" s="26" t="str">
        <f t="shared" si="14"/>
        <v>12/09/2020</v>
      </c>
      <c r="G19" s="27">
        <f t="shared" si="15"/>
        <v>1</v>
      </c>
      <c r="H19" s="28">
        <f t="shared" si="0"/>
        <v>4.3691803278688525E-4</v>
      </c>
      <c r="I19" s="3">
        <f t="shared" si="16"/>
        <v>0.16889000000000001</v>
      </c>
      <c r="J19" s="3">
        <f t="shared" si="1"/>
        <v>0.85551249475998603</v>
      </c>
      <c r="K19" s="3">
        <f t="shared" si="17"/>
        <v>14.740940450642583</v>
      </c>
      <c r="L19" s="30">
        <f t="shared" si="2"/>
        <v>60.24</v>
      </c>
      <c r="M19" s="29">
        <f t="shared" si="18"/>
        <v>258.83</v>
      </c>
      <c r="N19" s="29">
        <f t="shared" si="22"/>
        <v>0.11</v>
      </c>
      <c r="O19" s="29">
        <f t="shared" si="3"/>
        <v>42.17</v>
      </c>
      <c r="P19" s="29">
        <f t="shared" si="4"/>
        <v>42.28</v>
      </c>
      <c r="Q19" s="23" t="str">
        <f t="shared" si="5"/>
        <v>Y</v>
      </c>
      <c r="R19" s="5" t="str">
        <f t="shared" si="19"/>
        <v/>
      </c>
      <c r="S19" s="5" t="str">
        <f t="shared" si="20"/>
        <v/>
      </c>
      <c r="T19" s="5" t="str">
        <f t="shared" si="21"/>
        <v/>
      </c>
      <c r="U19" s="4" t="str">
        <f t="shared" si="6"/>
        <v/>
      </c>
      <c r="V19" s="6" t="str">
        <f t="shared" si="7"/>
        <v/>
      </c>
      <c r="W19" s="22" t="str">
        <f t="shared" si="8"/>
        <v/>
      </c>
      <c r="X19" s="22" t="str">
        <f t="shared" si="9"/>
        <v/>
      </c>
      <c r="Y19" s="22"/>
      <c r="Z19" s="1">
        <v>16</v>
      </c>
      <c r="AA19" s="1">
        <v>1</v>
      </c>
      <c r="AB19" s="1" t="s">
        <v>38</v>
      </c>
      <c r="AC19" s="2">
        <v>44261</v>
      </c>
      <c r="AD19" s="2">
        <v>43780</v>
      </c>
      <c r="AE19" s="36">
        <v>43.37</v>
      </c>
      <c r="AF19" s="36">
        <v>38.89</v>
      </c>
      <c r="AG19" s="36">
        <v>4.4800000000000004</v>
      </c>
      <c r="AJ19" s="34">
        <f t="shared" si="10"/>
        <v>1.0899999999999963</v>
      </c>
      <c r="AK19" s="34">
        <f t="shared" si="11"/>
        <v>-3.2800000000000011</v>
      </c>
      <c r="AL19" s="34">
        <f t="shared" si="12"/>
        <v>-4.37</v>
      </c>
    </row>
    <row r="20" spans="2:38" x14ac:dyDescent="0.25">
      <c r="E20" s="25">
        <f t="shared" si="13"/>
        <v>17</v>
      </c>
      <c r="F20" s="26" t="str">
        <f t="shared" si="14"/>
        <v>12/10/2020</v>
      </c>
      <c r="G20" s="27">
        <f t="shared" si="15"/>
        <v>1</v>
      </c>
      <c r="H20" s="28">
        <f t="shared" si="0"/>
        <v>4.3691803278688525E-4</v>
      </c>
      <c r="I20" s="3">
        <f t="shared" si="16"/>
        <v>0.169401</v>
      </c>
      <c r="J20" s="3">
        <f t="shared" si="1"/>
        <v>0.85513865645745135</v>
      </c>
      <c r="K20" s="3">
        <f t="shared" si="17"/>
        <v>15.596079107100035</v>
      </c>
      <c r="L20" s="30">
        <f t="shared" si="2"/>
        <v>56.93</v>
      </c>
      <c r="M20" s="29">
        <f t="shared" si="18"/>
        <v>216.65999999999997</v>
      </c>
      <c r="N20" s="29">
        <f t="shared" si="22"/>
        <v>0.09</v>
      </c>
      <c r="O20" s="29">
        <f t="shared" si="3"/>
        <v>42.19</v>
      </c>
      <c r="P20" s="29">
        <f t="shared" si="4"/>
        <v>42.28</v>
      </c>
      <c r="Q20" s="23" t="str">
        <f t="shared" si="5"/>
        <v>Y</v>
      </c>
      <c r="R20" s="5" t="str">
        <f t="shared" si="19"/>
        <v/>
      </c>
      <c r="S20" s="5" t="str">
        <f t="shared" si="20"/>
        <v/>
      </c>
      <c r="T20" s="5" t="str">
        <f t="shared" si="21"/>
        <v/>
      </c>
      <c r="U20" s="4" t="str">
        <f t="shared" si="6"/>
        <v/>
      </c>
      <c r="V20" s="6" t="str">
        <f t="shared" si="7"/>
        <v/>
      </c>
      <c r="W20" s="22" t="str">
        <f t="shared" si="8"/>
        <v/>
      </c>
      <c r="X20" s="22" t="str">
        <f t="shared" si="9"/>
        <v/>
      </c>
      <c r="Y20" s="22"/>
      <c r="Z20" s="1">
        <v>17</v>
      </c>
      <c r="AA20" s="1">
        <v>1</v>
      </c>
      <c r="AB20" s="1" t="s">
        <v>38</v>
      </c>
      <c r="AC20" s="2">
        <v>44292</v>
      </c>
      <c r="AD20" s="2">
        <v>43780</v>
      </c>
      <c r="AE20" s="36">
        <v>43.37</v>
      </c>
      <c r="AF20" s="36">
        <v>38.94</v>
      </c>
      <c r="AG20" s="36">
        <v>4.43</v>
      </c>
      <c r="AJ20" s="34">
        <f t="shared" si="10"/>
        <v>1.0899999999999963</v>
      </c>
      <c r="AK20" s="34">
        <f t="shared" si="11"/>
        <v>-3.25</v>
      </c>
      <c r="AL20" s="34">
        <f t="shared" si="12"/>
        <v>-4.34</v>
      </c>
    </row>
    <row r="21" spans="2:38" x14ac:dyDescent="0.25">
      <c r="E21" s="25">
        <f t="shared" si="13"/>
        <v>18</v>
      </c>
      <c r="F21" s="26" t="str">
        <f t="shared" si="14"/>
        <v>12/11/2020</v>
      </c>
      <c r="G21" s="27">
        <f t="shared" si="15"/>
        <v>1</v>
      </c>
      <c r="H21" s="28">
        <f t="shared" si="0"/>
        <v>4.3691803278688525E-4</v>
      </c>
      <c r="I21" s="3">
        <f t="shared" si="16"/>
        <v>0.16991200000000001</v>
      </c>
      <c r="J21" s="3">
        <f t="shared" si="1"/>
        <v>0.85476514472883425</v>
      </c>
      <c r="K21" s="3">
        <f t="shared" si="17"/>
        <v>16.450844251828869</v>
      </c>
      <c r="L21" s="30">
        <f t="shared" si="2"/>
        <v>53.97</v>
      </c>
      <c r="M21" s="29">
        <f t="shared" si="18"/>
        <v>174.46999999999997</v>
      </c>
      <c r="N21" s="29">
        <f t="shared" si="22"/>
        <v>7.0000000000000007E-2</v>
      </c>
      <c r="O21" s="29">
        <f t="shared" si="3"/>
        <v>42.21</v>
      </c>
      <c r="P21" s="29">
        <f t="shared" si="4"/>
        <v>42.28</v>
      </c>
      <c r="Q21" s="23" t="str">
        <f t="shared" si="5"/>
        <v>Y</v>
      </c>
      <c r="R21" s="5" t="str">
        <f t="shared" si="19"/>
        <v/>
      </c>
      <c r="S21" s="5" t="str">
        <f t="shared" si="20"/>
        <v/>
      </c>
      <c r="T21" s="5" t="str">
        <f t="shared" si="21"/>
        <v/>
      </c>
      <c r="U21" s="4" t="str">
        <f t="shared" si="6"/>
        <v/>
      </c>
      <c r="V21" s="6" t="str">
        <f t="shared" si="7"/>
        <v/>
      </c>
      <c r="W21" s="22" t="str">
        <f t="shared" si="8"/>
        <v/>
      </c>
      <c r="X21" s="22" t="str">
        <f t="shared" si="9"/>
        <v/>
      </c>
      <c r="Y21" s="22"/>
      <c r="Z21" s="1">
        <v>18</v>
      </c>
      <c r="AA21" s="1">
        <v>1</v>
      </c>
      <c r="AB21" s="1" t="s">
        <v>38</v>
      </c>
      <c r="AC21" s="2">
        <v>44322</v>
      </c>
      <c r="AD21" s="2">
        <v>43780</v>
      </c>
      <c r="AE21" s="36">
        <v>43.37</v>
      </c>
      <c r="AF21" s="36">
        <v>39.590000000000003</v>
      </c>
      <c r="AG21" s="36">
        <v>3.78</v>
      </c>
      <c r="AJ21" s="34">
        <f t="shared" si="10"/>
        <v>1.0899999999999963</v>
      </c>
      <c r="AK21" s="34">
        <f t="shared" si="11"/>
        <v>-2.6199999999999974</v>
      </c>
      <c r="AL21" s="34">
        <f t="shared" si="12"/>
        <v>-3.71</v>
      </c>
    </row>
    <row r="22" spans="2:38" x14ac:dyDescent="0.25">
      <c r="E22" s="25">
        <f t="shared" si="13"/>
        <v>19</v>
      </c>
      <c r="F22" s="26" t="str">
        <f t="shared" si="14"/>
        <v>12/12/2020</v>
      </c>
      <c r="G22" s="27">
        <f t="shared" si="15"/>
        <v>1</v>
      </c>
      <c r="H22" s="28">
        <f t="shared" si="0"/>
        <v>4.3691803278688525E-4</v>
      </c>
      <c r="I22" s="3">
        <f t="shared" si="16"/>
        <v>0.17042299999999999</v>
      </c>
      <c r="J22" s="3">
        <f t="shared" si="1"/>
        <v>0.8543919591463941</v>
      </c>
      <c r="K22" s="3">
        <f t="shared" si="17"/>
        <v>17.305236210975263</v>
      </c>
      <c r="L22" s="30">
        <f t="shared" si="2"/>
        <v>51.31</v>
      </c>
      <c r="M22" s="29">
        <f t="shared" si="18"/>
        <v>132.25999999999996</v>
      </c>
      <c r="N22" s="29">
        <f t="shared" si="22"/>
        <v>0.05</v>
      </c>
      <c r="O22" s="29">
        <f t="shared" si="3"/>
        <v>42.23</v>
      </c>
      <c r="P22" s="29">
        <f t="shared" si="4"/>
        <v>42.28</v>
      </c>
      <c r="Q22" s="23" t="str">
        <f t="shared" si="5"/>
        <v>Y</v>
      </c>
      <c r="R22" s="5" t="str">
        <f t="shared" si="19"/>
        <v/>
      </c>
      <c r="S22" s="5" t="str">
        <f t="shared" si="20"/>
        <v/>
      </c>
      <c r="T22" s="5" t="str">
        <f t="shared" si="21"/>
        <v/>
      </c>
      <c r="U22" s="4" t="str">
        <f t="shared" si="6"/>
        <v/>
      </c>
      <c r="V22" s="6" t="str">
        <f t="shared" si="7"/>
        <v/>
      </c>
      <c r="W22" s="22" t="str">
        <f t="shared" si="8"/>
        <v/>
      </c>
      <c r="X22" s="22" t="str">
        <f t="shared" si="9"/>
        <v/>
      </c>
      <c r="Y22" s="22"/>
      <c r="Z22" s="1">
        <v>19</v>
      </c>
      <c r="AA22" s="1">
        <v>1</v>
      </c>
      <c r="AB22" s="1" t="s">
        <v>38</v>
      </c>
      <c r="AC22" s="2">
        <v>44353</v>
      </c>
      <c r="AD22" s="2">
        <v>43780</v>
      </c>
      <c r="AE22" s="36">
        <v>43.37</v>
      </c>
      <c r="AF22" s="36">
        <v>40</v>
      </c>
      <c r="AG22" s="36">
        <v>3.37</v>
      </c>
      <c r="AJ22" s="34">
        <f t="shared" si="10"/>
        <v>1.0899999999999963</v>
      </c>
      <c r="AK22" s="34">
        <f t="shared" si="11"/>
        <v>-2.2299999999999969</v>
      </c>
      <c r="AL22" s="34">
        <f t="shared" si="12"/>
        <v>-3.3200000000000003</v>
      </c>
    </row>
    <row r="23" spans="2:38" x14ac:dyDescent="0.25">
      <c r="E23" s="25">
        <f t="shared" si="13"/>
        <v>20</v>
      </c>
      <c r="F23" s="26" t="str">
        <f t="shared" si="14"/>
        <v>12/01/2021</v>
      </c>
      <c r="G23" s="27">
        <f t="shared" si="15"/>
        <v>354</v>
      </c>
      <c r="H23" s="28">
        <f t="shared" si="0"/>
        <v>0.15509273424657535</v>
      </c>
      <c r="I23" s="3">
        <f t="shared" si="16"/>
        <v>0.35194700000000001</v>
      </c>
      <c r="J23" s="3">
        <f t="shared" si="1"/>
        <v>0.73967396650904216</v>
      </c>
      <c r="K23" s="3">
        <f t="shared" si="17"/>
        <v>18.044910177484304</v>
      </c>
      <c r="L23" s="30">
        <f t="shared" si="2"/>
        <v>49.21</v>
      </c>
      <c r="M23" s="29">
        <f t="shared" si="18"/>
        <v>90.029999999999973</v>
      </c>
      <c r="N23" s="29">
        <f t="shared" si="22"/>
        <v>0</v>
      </c>
      <c r="O23" s="29">
        <f t="shared" si="3"/>
        <v>42.28</v>
      </c>
      <c r="P23" s="29">
        <f t="shared" si="4"/>
        <v>42.28</v>
      </c>
      <c r="Q23" s="23" t="str">
        <f t="shared" si="5"/>
        <v>N</v>
      </c>
      <c r="R23" s="5" t="str">
        <f t="shared" si="19"/>
        <v>12/12/2020</v>
      </c>
      <c r="S23" s="5" t="str">
        <f t="shared" si="20"/>
        <v>31/12/2020</v>
      </c>
      <c r="T23" s="5" t="str">
        <f t="shared" si="21"/>
        <v>12/01/2021</v>
      </c>
      <c r="U23" s="4" t="str">
        <f t="shared" si="6"/>
        <v/>
      </c>
      <c r="V23" s="6" t="str">
        <f t="shared" si="7"/>
        <v/>
      </c>
      <c r="W23" s="22" t="str">
        <f t="shared" si="8"/>
        <v/>
      </c>
      <c r="X23" s="22" t="str">
        <f t="shared" si="9"/>
        <v/>
      </c>
      <c r="Y23" s="22"/>
      <c r="Z23" s="1">
        <v>20</v>
      </c>
      <c r="AA23" s="1">
        <v>1</v>
      </c>
      <c r="AB23" s="1" t="s">
        <v>38</v>
      </c>
      <c r="AC23" s="2">
        <v>44383</v>
      </c>
      <c r="AD23" s="2">
        <v>43780</v>
      </c>
      <c r="AE23" s="36">
        <v>43.37</v>
      </c>
      <c r="AF23" s="36">
        <v>40.64</v>
      </c>
      <c r="AG23" s="36">
        <v>2.73</v>
      </c>
      <c r="AJ23" s="34">
        <f t="shared" si="10"/>
        <v>1.0899999999999963</v>
      </c>
      <c r="AK23" s="34">
        <f t="shared" si="11"/>
        <v>-1.6400000000000006</v>
      </c>
      <c r="AL23" s="34">
        <f t="shared" si="12"/>
        <v>-2.73</v>
      </c>
    </row>
    <row r="24" spans="2:38" x14ac:dyDescent="0.25">
      <c r="E24" s="25">
        <f t="shared" si="13"/>
        <v>21</v>
      </c>
      <c r="F24" s="26" t="str">
        <f t="shared" si="14"/>
        <v>12/02/2021</v>
      </c>
      <c r="G24" s="27">
        <f t="shared" si="15"/>
        <v>1</v>
      </c>
      <c r="H24" s="28">
        <f t="shared" si="0"/>
        <v>4.381150684931507E-4</v>
      </c>
      <c r="I24" s="7">
        <f t="shared" si="16"/>
        <v>0.35253899999999999</v>
      </c>
      <c r="J24" s="3">
        <f t="shared" si="1"/>
        <v>0.7393502146703349</v>
      </c>
      <c r="K24" s="3">
        <f t="shared" si="17"/>
        <v>18.784260392154639</v>
      </c>
      <c r="L24" s="30">
        <f t="shared" si="2"/>
        <v>47.27</v>
      </c>
      <c r="M24" s="29">
        <f t="shared" si="18"/>
        <v>47.749999999999972</v>
      </c>
      <c r="N24" s="29">
        <f t="shared" si="22"/>
        <v>0.02</v>
      </c>
      <c r="O24" s="29">
        <f t="shared" si="3"/>
        <v>42.26</v>
      </c>
      <c r="P24" s="29">
        <f t="shared" si="4"/>
        <v>42.28</v>
      </c>
      <c r="Q24" s="23" t="str">
        <f t="shared" si="5"/>
        <v>N</v>
      </c>
      <c r="R24" s="5" t="str">
        <f t="shared" si="19"/>
        <v/>
      </c>
      <c r="S24" s="5" t="str">
        <f t="shared" si="20"/>
        <v/>
      </c>
      <c r="T24" s="5" t="str">
        <f t="shared" si="21"/>
        <v/>
      </c>
      <c r="U24" s="4" t="str">
        <f t="shared" si="6"/>
        <v/>
      </c>
      <c r="V24" s="6" t="str">
        <f t="shared" si="7"/>
        <v/>
      </c>
      <c r="W24" s="22" t="str">
        <f t="shared" si="8"/>
        <v/>
      </c>
      <c r="X24" s="22" t="str">
        <f t="shared" si="9"/>
        <v/>
      </c>
      <c r="Y24" s="22"/>
      <c r="Z24" s="1">
        <v>21</v>
      </c>
      <c r="AA24" s="1">
        <v>1</v>
      </c>
      <c r="AB24" s="1" t="s">
        <v>38</v>
      </c>
      <c r="AC24" s="2">
        <v>44414</v>
      </c>
      <c r="AD24" s="2">
        <v>43780</v>
      </c>
      <c r="AE24" s="36">
        <v>43.37</v>
      </c>
      <c r="AF24" s="36">
        <v>41.1</v>
      </c>
      <c r="AG24" s="36">
        <v>2.27</v>
      </c>
      <c r="AJ24" s="34">
        <f t="shared" si="10"/>
        <v>1.0899999999999963</v>
      </c>
      <c r="AK24" s="34">
        <f t="shared" si="11"/>
        <v>-1.1599999999999966</v>
      </c>
      <c r="AL24" s="34">
        <f t="shared" si="12"/>
        <v>-2.25</v>
      </c>
    </row>
    <row r="25" spans="2:38" x14ac:dyDescent="0.25">
      <c r="E25" s="25">
        <f t="shared" si="13"/>
        <v>22</v>
      </c>
      <c r="F25" s="26" t="str">
        <f t="shared" si="14"/>
        <v>12/03/2021</v>
      </c>
      <c r="G25" s="27">
        <f t="shared" si="15"/>
        <v>1</v>
      </c>
      <c r="H25" s="28">
        <f t="shared" si="0"/>
        <v>4.381150684931507E-4</v>
      </c>
      <c r="I25" s="3">
        <f t="shared" si="16"/>
        <v>0.353132</v>
      </c>
      <c r="J25" s="3">
        <f t="shared" si="1"/>
        <v>0.73902619995684082</v>
      </c>
      <c r="K25" s="7">
        <f t="shared" si="17"/>
        <v>19.523286592111479</v>
      </c>
      <c r="L25" s="30">
        <f t="shared" si="2"/>
        <v>45.48</v>
      </c>
      <c r="M25" s="29">
        <f t="shared" si="18"/>
        <v>5.4899999999999736</v>
      </c>
      <c r="N25" s="29">
        <f t="shared" si="22"/>
        <v>0</v>
      </c>
      <c r="O25" s="29">
        <f t="shared" si="3"/>
        <v>42.28</v>
      </c>
      <c r="P25" s="29">
        <f t="shared" si="4"/>
        <v>42.28</v>
      </c>
      <c r="Q25" s="23" t="str">
        <f t="shared" si="5"/>
        <v>N</v>
      </c>
      <c r="R25" s="5" t="str">
        <f t="shared" si="19"/>
        <v/>
      </c>
      <c r="S25" s="5" t="str">
        <f t="shared" si="20"/>
        <v/>
      </c>
      <c r="T25" s="5" t="str">
        <f t="shared" si="21"/>
        <v/>
      </c>
      <c r="U25" s="4" t="str">
        <f t="shared" si="6"/>
        <v/>
      </c>
      <c r="V25" s="6" t="str">
        <f t="shared" si="7"/>
        <v/>
      </c>
      <c r="W25" s="22" t="str">
        <f t="shared" si="8"/>
        <v/>
      </c>
      <c r="X25" s="22" t="str">
        <f t="shared" si="9"/>
        <v/>
      </c>
      <c r="Y25" s="22"/>
      <c r="Z25" s="1">
        <v>22</v>
      </c>
      <c r="AA25" s="1">
        <v>1</v>
      </c>
      <c r="AB25" s="1" t="s">
        <v>38</v>
      </c>
      <c r="AC25" s="2">
        <v>44445</v>
      </c>
      <c r="AD25" s="2">
        <v>43780</v>
      </c>
      <c r="AE25" s="36">
        <v>43.37</v>
      </c>
      <c r="AF25" s="36">
        <v>41.66</v>
      </c>
      <c r="AG25" s="36">
        <v>1.71</v>
      </c>
      <c r="AJ25" s="34">
        <f t="shared" si="10"/>
        <v>1.0899999999999963</v>
      </c>
      <c r="AK25" s="34">
        <f t="shared" si="11"/>
        <v>-0.62000000000000455</v>
      </c>
      <c r="AL25" s="34">
        <f t="shared" si="12"/>
        <v>-1.71</v>
      </c>
    </row>
    <row r="26" spans="2:38" x14ac:dyDescent="0.25">
      <c r="E26" s="25">
        <f t="shared" si="13"/>
        <v>23</v>
      </c>
      <c r="F26" s="26" t="str">
        <f t="shared" si="14"/>
        <v>12/04/2021</v>
      </c>
      <c r="G26" s="27">
        <f t="shared" si="15"/>
        <v>1</v>
      </c>
      <c r="H26" s="28">
        <f t="shared" si="0"/>
        <v>4.381150684931507E-4</v>
      </c>
      <c r="I26" s="3">
        <f t="shared" si="16"/>
        <v>0.35372500000000001</v>
      </c>
      <c r="J26" s="3">
        <f t="shared" si="1"/>
        <v>0.73870246911300297</v>
      </c>
      <c r="K26" s="3">
        <f t="shared" si="17"/>
        <v>20.261989061224483</v>
      </c>
      <c r="L26" s="30">
        <f t="shared" si="2"/>
        <v>43.82</v>
      </c>
      <c r="M26" s="29" t="str">
        <f t="shared" si="18"/>
        <v/>
      </c>
      <c r="N26" s="29" t="str">
        <f t="shared" si="22"/>
        <v/>
      </c>
      <c r="O26" s="29" t="str">
        <f t="shared" si="3"/>
        <v/>
      </c>
      <c r="P26" s="29" t="str">
        <f t="shared" si="4"/>
        <v/>
      </c>
      <c r="Q26" s="23" t="str">
        <f t="shared" si="5"/>
        <v>N</v>
      </c>
      <c r="R26" s="5" t="str">
        <f t="shared" si="19"/>
        <v/>
      </c>
      <c r="S26" s="5" t="str">
        <f t="shared" si="20"/>
        <v/>
      </c>
      <c r="T26" s="5" t="str">
        <f t="shared" si="21"/>
        <v/>
      </c>
      <c r="U26" s="4" t="str">
        <f t="shared" si="6"/>
        <v/>
      </c>
      <c r="V26" s="6" t="str">
        <f t="shared" si="7"/>
        <v/>
      </c>
      <c r="W26" s="22" t="str">
        <f t="shared" si="8"/>
        <v/>
      </c>
      <c r="X26" s="22" t="str">
        <f t="shared" si="9"/>
        <v/>
      </c>
      <c r="Y26" s="22"/>
      <c r="Z26" s="1">
        <v>23</v>
      </c>
      <c r="AA26" s="1">
        <v>1</v>
      </c>
      <c r="AB26" s="1" t="s">
        <v>38</v>
      </c>
      <c r="AC26" s="2">
        <v>44475</v>
      </c>
      <c r="AD26" s="2">
        <v>43780</v>
      </c>
      <c r="AE26" s="36">
        <v>43.37</v>
      </c>
      <c r="AF26" s="36">
        <v>42.26</v>
      </c>
      <c r="AG26" s="36">
        <v>1.1100000000000001</v>
      </c>
      <c r="AJ26" s="34" t="e">
        <f t="shared" si="10"/>
        <v>#VALUE!</v>
      </c>
      <c r="AK26" s="34" t="e">
        <f t="shared" si="11"/>
        <v>#VALUE!</v>
      </c>
      <c r="AL26" s="34" t="e">
        <f t="shared" si="12"/>
        <v>#VALUE!</v>
      </c>
    </row>
    <row r="27" spans="2:38" x14ac:dyDescent="0.25">
      <c r="E27" s="25">
        <f t="shared" si="13"/>
        <v>24</v>
      </c>
      <c r="F27" s="26" t="str">
        <f t="shared" si="14"/>
        <v>12/05/2021</v>
      </c>
      <c r="G27" s="27">
        <f t="shared" si="15"/>
        <v>1</v>
      </c>
      <c r="H27" s="28">
        <f t="shared" si="0"/>
        <v>4.381150684931507E-4</v>
      </c>
      <c r="I27" s="3">
        <f t="shared" si="16"/>
        <v>0.35431800000000002</v>
      </c>
      <c r="J27" s="7">
        <f t="shared" si="1"/>
        <v>0.73837902176593673</v>
      </c>
      <c r="K27" s="3">
        <f t="shared" si="17"/>
        <v>21.00036808299042</v>
      </c>
      <c r="L27" s="30">
        <f t="shared" si="2"/>
        <v>42.28</v>
      </c>
      <c r="M27" s="29" t="str">
        <f t="shared" si="18"/>
        <v/>
      </c>
      <c r="N27" s="29" t="str">
        <f t="shared" si="22"/>
        <v/>
      </c>
      <c r="O27" s="29" t="str">
        <f t="shared" si="3"/>
        <v/>
      </c>
      <c r="P27" s="29" t="str">
        <f t="shared" si="4"/>
        <v/>
      </c>
      <c r="Q27" s="23" t="str">
        <f t="shared" si="5"/>
        <v>N</v>
      </c>
      <c r="R27" s="5" t="str">
        <f t="shared" si="19"/>
        <v/>
      </c>
      <c r="S27" s="5" t="str">
        <f t="shared" si="20"/>
        <v/>
      </c>
      <c r="T27" s="5" t="str">
        <f t="shared" si="21"/>
        <v/>
      </c>
      <c r="U27" s="4" t="str">
        <f t="shared" si="6"/>
        <v/>
      </c>
      <c r="V27" s="6" t="str">
        <f t="shared" si="7"/>
        <v/>
      </c>
      <c r="W27" s="22" t="str">
        <f t="shared" si="8"/>
        <v/>
      </c>
      <c r="X27" s="22" t="str">
        <f t="shared" si="9"/>
        <v/>
      </c>
      <c r="Y27" s="22"/>
      <c r="Z27" s="1">
        <v>24</v>
      </c>
      <c r="AA27" s="1">
        <v>1</v>
      </c>
      <c r="AB27" s="1" t="s">
        <v>38</v>
      </c>
      <c r="AC27" s="2">
        <v>44506</v>
      </c>
      <c r="AD27" s="2">
        <v>43780</v>
      </c>
      <c r="AE27" s="36">
        <v>43.29</v>
      </c>
      <c r="AF27" s="36">
        <v>42.71</v>
      </c>
      <c r="AG27" s="36">
        <v>0.57999999999999996</v>
      </c>
      <c r="AJ27" s="34" t="e">
        <f t="shared" si="10"/>
        <v>#VALUE!</v>
      </c>
      <c r="AK27" s="34" t="e">
        <f t="shared" si="11"/>
        <v>#VALUE!</v>
      </c>
      <c r="AL27" s="34" t="e">
        <f t="shared" si="12"/>
        <v>#VALUE!</v>
      </c>
    </row>
    <row r="28" spans="2:38" x14ac:dyDescent="0.25">
      <c r="E28" s="25" t="str">
        <f t="shared" si="13"/>
        <v xml:space="preserve"> </v>
      </c>
      <c r="F28" s="26" t="str">
        <f t="shared" si="14"/>
        <v xml:space="preserve"> </v>
      </c>
      <c r="G28" s="27" t="str">
        <f t="shared" si="15"/>
        <v xml:space="preserve"> </v>
      </c>
      <c r="H28" s="28" t="str">
        <f t="shared" si="0"/>
        <v xml:space="preserve"> </v>
      </c>
      <c r="I28" s="3" t="str">
        <f t="shared" si="16"/>
        <v xml:space="preserve"> </v>
      </c>
      <c r="J28" s="3" t="str">
        <f t="shared" si="1"/>
        <v xml:space="preserve"> </v>
      </c>
      <c r="K28" s="3" t="str">
        <f t="shared" si="17"/>
        <v/>
      </c>
      <c r="L28" s="30" t="str">
        <f t="shared" si="2"/>
        <v/>
      </c>
      <c r="M28" s="29" t="str">
        <f t="shared" si="18"/>
        <v/>
      </c>
      <c r="N28" s="29" t="str">
        <f t="shared" si="22"/>
        <v/>
      </c>
      <c r="O28" s="29" t="str">
        <f t="shared" si="3"/>
        <v/>
      </c>
      <c r="P28" s="29" t="str">
        <f t="shared" si="4"/>
        <v/>
      </c>
      <c r="Q28" s="23" t="str">
        <f t="shared" si="5"/>
        <v/>
      </c>
      <c r="R28" s="5" t="str">
        <f t="shared" si="19"/>
        <v/>
      </c>
      <c r="S28" s="5" t="str">
        <f t="shared" si="20"/>
        <v/>
      </c>
      <c r="T28" s="5" t="str">
        <f t="shared" si="21"/>
        <v/>
      </c>
      <c r="U28" s="4" t="str">
        <f t="shared" si="6"/>
        <v xml:space="preserve"> </v>
      </c>
      <c r="V28" s="6" t="str">
        <f t="shared" si="7"/>
        <v xml:space="preserve"> </v>
      </c>
      <c r="W28" s="22" t="str">
        <f t="shared" si="8"/>
        <v/>
      </c>
      <c r="X28" s="22" t="str">
        <f t="shared" si="9"/>
        <v/>
      </c>
      <c r="Y28" s="22"/>
      <c r="AC28" s="2"/>
      <c r="AD28" s="2"/>
      <c r="AJ28" s="34"/>
      <c r="AK28" s="34"/>
      <c r="AL28" s="34"/>
    </row>
    <row r="29" spans="2:38" x14ac:dyDescent="0.25">
      <c r="E29" s="25" t="str">
        <f t="shared" si="13"/>
        <v xml:space="preserve"> </v>
      </c>
      <c r="F29" s="26" t="str">
        <f t="shared" si="14"/>
        <v xml:space="preserve"> </v>
      </c>
      <c r="G29" s="27" t="str">
        <f t="shared" si="15"/>
        <v xml:space="preserve"> </v>
      </c>
      <c r="H29" s="28" t="str">
        <f t="shared" si="0"/>
        <v xml:space="preserve"> </v>
      </c>
      <c r="I29" s="3" t="str">
        <f t="shared" si="16"/>
        <v xml:space="preserve"> </v>
      </c>
      <c r="J29" s="3" t="str">
        <f t="shared" si="1"/>
        <v xml:space="preserve"> </v>
      </c>
      <c r="K29" s="3" t="str">
        <f t="shared" si="17"/>
        <v/>
      </c>
      <c r="L29" s="30" t="str">
        <f t="shared" si="2"/>
        <v/>
      </c>
      <c r="M29" s="29" t="str">
        <f t="shared" si="18"/>
        <v/>
      </c>
      <c r="N29" s="29" t="str">
        <f t="shared" si="22"/>
        <v/>
      </c>
      <c r="O29" s="29" t="str">
        <f t="shared" si="3"/>
        <v/>
      </c>
      <c r="P29" s="29" t="str">
        <f t="shared" si="4"/>
        <v/>
      </c>
      <c r="Q29" s="23" t="str">
        <f t="shared" si="5"/>
        <v/>
      </c>
      <c r="R29" s="5" t="str">
        <f t="shared" si="19"/>
        <v/>
      </c>
      <c r="S29" s="5" t="str">
        <f t="shared" si="20"/>
        <v/>
      </c>
      <c r="T29" s="5" t="str">
        <f t="shared" si="21"/>
        <v/>
      </c>
      <c r="U29" s="4" t="str">
        <f t="shared" si="6"/>
        <v xml:space="preserve"> </v>
      </c>
      <c r="V29" s="6" t="str">
        <f t="shared" si="7"/>
        <v xml:space="preserve"> </v>
      </c>
      <c r="W29" s="22" t="str">
        <f t="shared" si="8"/>
        <v/>
      </c>
      <c r="X29" s="22" t="str">
        <f t="shared" si="9"/>
        <v/>
      </c>
      <c r="Y29" s="22"/>
      <c r="AC29" s="2"/>
      <c r="AD29" s="2"/>
      <c r="AJ29" s="34"/>
      <c r="AK29" s="34"/>
      <c r="AL29" s="34"/>
    </row>
    <row r="30" spans="2:38" x14ac:dyDescent="0.25">
      <c r="E30" s="25" t="str">
        <f t="shared" si="13"/>
        <v xml:space="preserve"> </v>
      </c>
      <c r="F30" s="26" t="str">
        <f t="shared" si="14"/>
        <v xml:space="preserve"> </v>
      </c>
      <c r="G30" s="27" t="str">
        <f t="shared" si="15"/>
        <v xml:space="preserve"> </v>
      </c>
      <c r="H30" s="28" t="str">
        <f t="shared" si="0"/>
        <v xml:space="preserve"> </v>
      </c>
      <c r="I30" s="3" t="str">
        <f t="shared" si="16"/>
        <v xml:space="preserve"> </v>
      </c>
      <c r="J30" s="3" t="str">
        <f t="shared" si="1"/>
        <v xml:space="preserve"> </v>
      </c>
      <c r="K30" s="3" t="str">
        <f t="shared" si="17"/>
        <v/>
      </c>
      <c r="L30" s="30" t="str">
        <f t="shared" si="2"/>
        <v/>
      </c>
      <c r="M30" s="29" t="str">
        <f t="shared" si="18"/>
        <v/>
      </c>
      <c r="N30" s="29" t="str">
        <f t="shared" si="22"/>
        <v/>
      </c>
      <c r="O30" s="29" t="str">
        <f t="shared" si="3"/>
        <v/>
      </c>
      <c r="P30" s="29" t="str">
        <f t="shared" si="4"/>
        <v/>
      </c>
      <c r="Q30" s="23" t="str">
        <f t="shared" si="5"/>
        <v/>
      </c>
      <c r="R30" s="5" t="str">
        <f t="shared" si="19"/>
        <v/>
      </c>
      <c r="S30" s="5" t="str">
        <f t="shared" si="20"/>
        <v/>
      </c>
      <c r="T30" s="5" t="str">
        <f t="shared" si="21"/>
        <v/>
      </c>
      <c r="U30" s="4" t="str">
        <f t="shared" si="6"/>
        <v xml:space="preserve"> </v>
      </c>
      <c r="V30" s="6" t="str">
        <f t="shared" si="7"/>
        <v xml:space="preserve"> </v>
      </c>
      <c r="W30" s="22" t="str">
        <f t="shared" si="8"/>
        <v/>
      </c>
      <c r="X30" s="22" t="str">
        <f t="shared" si="9"/>
        <v/>
      </c>
      <c r="Y30" s="22"/>
      <c r="AC30" s="2"/>
      <c r="AD30" s="2"/>
      <c r="AJ30" s="34"/>
      <c r="AK30" s="34"/>
      <c r="AL30" s="34"/>
    </row>
    <row r="31" spans="2:38" x14ac:dyDescent="0.25">
      <c r="E31" s="25" t="str">
        <f t="shared" si="13"/>
        <v xml:space="preserve"> </v>
      </c>
      <c r="F31" s="26" t="str">
        <f t="shared" si="14"/>
        <v xml:space="preserve"> </v>
      </c>
      <c r="G31" s="27" t="str">
        <f t="shared" si="15"/>
        <v xml:space="preserve"> </v>
      </c>
      <c r="H31" s="28" t="str">
        <f t="shared" si="0"/>
        <v xml:space="preserve"> </v>
      </c>
      <c r="I31" s="3" t="str">
        <f t="shared" si="16"/>
        <v xml:space="preserve"> </v>
      </c>
      <c r="J31" s="3" t="str">
        <f t="shared" si="1"/>
        <v xml:space="preserve"> </v>
      </c>
      <c r="K31" s="3" t="str">
        <f t="shared" si="17"/>
        <v/>
      </c>
      <c r="L31" s="30" t="str">
        <f t="shared" si="2"/>
        <v/>
      </c>
      <c r="M31" s="29" t="str">
        <f t="shared" si="18"/>
        <v/>
      </c>
      <c r="N31" s="29" t="str">
        <f t="shared" si="22"/>
        <v/>
      </c>
      <c r="O31" s="29" t="str">
        <f t="shared" si="3"/>
        <v/>
      </c>
      <c r="P31" s="29" t="str">
        <f t="shared" si="4"/>
        <v/>
      </c>
      <c r="Q31" s="23" t="str">
        <f t="shared" si="5"/>
        <v/>
      </c>
      <c r="R31" s="5" t="str">
        <f t="shared" si="19"/>
        <v/>
      </c>
      <c r="S31" s="5" t="str">
        <f t="shared" si="20"/>
        <v/>
      </c>
      <c r="T31" s="5" t="str">
        <f t="shared" si="21"/>
        <v/>
      </c>
      <c r="U31" s="4" t="str">
        <f t="shared" si="6"/>
        <v xml:space="preserve"> </v>
      </c>
      <c r="V31" s="6" t="str">
        <f t="shared" si="7"/>
        <v xml:space="preserve"> </v>
      </c>
      <c r="W31" s="22" t="str">
        <f t="shared" si="8"/>
        <v/>
      </c>
      <c r="X31" s="22" t="str">
        <f t="shared" si="9"/>
        <v/>
      </c>
      <c r="Y31" s="22"/>
      <c r="AC31" s="2"/>
      <c r="AD31" s="2"/>
      <c r="AJ31" s="34"/>
      <c r="AK31" s="34"/>
      <c r="AL31" s="34"/>
    </row>
    <row r="32" spans="2:38" x14ac:dyDescent="0.25">
      <c r="E32" s="25" t="str">
        <f t="shared" si="13"/>
        <v xml:space="preserve"> </v>
      </c>
      <c r="F32" s="26" t="str">
        <f t="shared" si="14"/>
        <v xml:space="preserve"> </v>
      </c>
      <c r="G32" s="27" t="str">
        <f t="shared" si="15"/>
        <v xml:space="preserve"> </v>
      </c>
      <c r="H32" s="28" t="str">
        <f t="shared" si="0"/>
        <v xml:space="preserve"> </v>
      </c>
      <c r="I32" s="3" t="str">
        <f t="shared" si="16"/>
        <v xml:space="preserve"> </v>
      </c>
      <c r="J32" s="3" t="str">
        <f t="shared" si="1"/>
        <v xml:space="preserve"> </v>
      </c>
      <c r="K32" s="3" t="str">
        <f t="shared" si="17"/>
        <v/>
      </c>
      <c r="L32" s="30" t="str">
        <f t="shared" si="2"/>
        <v/>
      </c>
      <c r="M32" s="29" t="str">
        <f t="shared" si="18"/>
        <v/>
      </c>
      <c r="N32" s="29" t="str">
        <f t="shared" si="22"/>
        <v/>
      </c>
      <c r="O32" s="29" t="str">
        <f t="shared" si="3"/>
        <v/>
      </c>
      <c r="P32" s="29" t="str">
        <f t="shared" si="4"/>
        <v/>
      </c>
      <c r="Q32" s="23" t="str">
        <f t="shared" si="5"/>
        <v/>
      </c>
      <c r="R32" s="5" t="str">
        <f t="shared" si="19"/>
        <v/>
      </c>
      <c r="S32" s="5" t="str">
        <f t="shared" si="20"/>
        <v/>
      </c>
      <c r="T32" s="5" t="str">
        <f t="shared" si="21"/>
        <v/>
      </c>
      <c r="U32" s="4" t="str">
        <f t="shared" si="6"/>
        <v xml:space="preserve"> </v>
      </c>
      <c r="V32" s="6" t="str">
        <f t="shared" si="7"/>
        <v xml:space="preserve"> </v>
      </c>
      <c r="W32" s="22" t="str">
        <f t="shared" si="8"/>
        <v/>
      </c>
      <c r="X32" s="22" t="str">
        <f t="shared" si="9"/>
        <v/>
      </c>
      <c r="Y32" s="22"/>
      <c r="AC32" s="2"/>
      <c r="AD32" s="2"/>
      <c r="AJ32" s="34"/>
      <c r="AK32" s="34"/>
      <c r="AL32" s="34"/>
    </row>
    <row r="33" spans="5:38" x14ac:dyDescent="0.25">
      <c r="E33" s="25" t="str">
        <f t="shared" si="13"/>
        <v xml:space="preserve"> </v>
      </c>
      <c r="F33" s="26" t="str">
        <f t="shared" si="14"/>
        <v xml:space="preserve"> </v>
      </c>
      <c r="G33" s="27" t="str">
        <f t="shared" si="15"/>
        <v xml:space="preserve"> </v>
      </c>
      <c r="H33" s="28" t="str">
        <f t="shared" si="0"/>
        <v xml:space="preserve"> </v>
      </c>
      <c r="I33" s="3" t="str">
        <f t="shared" si="16"/>
        <v xml:space="preserve"> </v>
      </c>
      <c r="J33" s="3" t="str">
        <f t="shared" si="1"/>
        <v xml:space="preserve"> </v>
      </c>
      <c r="K33" s="3" t="str">
        <f t="shared" si="17"/>
        <v/>
      </c>
      <c r="L33" s="30" t="str">
        <f t="shared" si="2"/>
        <v/>
      </c>
      <c r="M33" s="29" t="str">
        <f t="shared" si="18"/>
        <v/>
      </c>
      <c r="N33" s="29" t="str">
        <f t="shared" si="22"/>
        <v/>
      </c>
      <c r="O33" s="29" t="str">
        <f t="shared" si="3"/>
        <v/>
      </c>
      <c r="P33" s="29" t="str">
        <f t="shared" si="4"/>
        <v/>
      </c>
      <c r="Q33" s="23" t="str">
        <f t="shared" si="5"/>
        <v/>
      </c>
      <c r="R33" s="5" t="str">
        <f t="shared" si="19"/>
        <v/>
      </c>
      <c r="S33" s="5" t="str">
        <f t="shared" si="20"/>
        <v/>
      </c>
      <c r="T33" s="5" t="str">
        <f t="shared" si="21"/>
        <v/>
      </c>
      <c r="U33" s="4" t="str">
        <f t="shared" si="6"/>
        <v xml:space="preserve"> </v>
      </c>
      <c r="V33" s="6" t="str">
        <f t="shared" si="7"/>
        <v xml:space="preserve"> </v>
      </c>
      <c r="W33" s="22" t="str">
        <f t="shared" si="8"/>
        <v/>
      </c>
      <c r="X33" s="22" t="str">
        <f t="shared" si="9"/>
        <v/>
      </c>
      <c r="Y33" s="22"/>
      <c r="AC33" s="2"/>
      <c r="AD33" s="2"/>
      <c r="AJ33" s="34"/>
      <c r="AK33" s="34"/>
      <c r="AL33" s="34"/>
    </row>
    <row r="34" spans="5:38" x14ac:dyDescent="0.25">
      <c r="E34" s="25" t="str">
        <f t="shared" si="13"/>
        <v xml:space="preserve"> </v>
      </c>
      <c r="F34" s="26" t="str">
        <f t="shared" si="14"/>
        <v xml:space="preserve"> </v>
      </c>
      <c r="G34" s="27" t="str">
        <f t="shared" si="15"/>
        <v xml:space="preserve"> </v>
      </c>
      <c r="H34" s="28" t="str">
        <f t="shared" si="0"/>
        <v xml:space="preserve"> </v>
      </c>
      <c r="I34" s="3" t="str">
        <f t="shared" si="16"/>
        <v xml:space="preserve"> </v>
      </c>
      <c r="J34" s="3" t="str">
        <f t="shared" si="1"/>
        <v xml:space="preserve"> </v>
      </c>
      <c r="K34" s="3" t="str">
        <f t="shared" si="17"/>
        <v/>
      </c>
      <c r="L34" s="30" t="str">
        <f t="shared" si="2"/>
        <v/>
      </c>
      <c r="M34" s="29" t="str">
        <f t="shared" si="18"/>
        <v/>
      </c>
      <c r="N34" s="29" t="str">
        <f t="shared" si="22"/>
        <v/>
      </c>
      <c r="O34" s="29" t="str">
        <f t="shared" si="3"/>
        <v/>
      </c>
      <c r="P34" s="29" t="str">
        <f t="shared" si="4"/>
        <v/>
      </c>
      <c r="Q34" s="23" t="str">
        <f t="shared" si="5"/>
        <v/>
      </c>
      <c r="R34" s="5" t="str">
        <f t="shared" si="19"/>
        <v/>
      </c>
      <c r="S34" s="5" t="str">
        <f t="shared" si="20"/>
        <v/>
      </c>
      <c r="T34" s="5" t="str">
        <f t="shared" si="21"/>
        <v/>
      </c>
      <c r="U34" s="4" t="str">
        <f t="shared" si="6"/>
        <v xml:space="preserve"> </v>
      </c>
      <c r="V34" s="6" t="str">
        <f t="shared" si="7"/>
        <v xml:space="preserve"> </v>
      </c>
      <c r="W34" s="22" t="str">
        <f t="shared" si="8"/>
        <v/>
      </c>
      <c r="X34" s="22" t="str">
        <f t="shared" si="9"/>
        <v/>
      </c>
      <c r="Y34" s="22"/>
      <c r="AC34" s="2"/>
      <c r="AD34" s="2"/>
      <c r="AJ34" s="34"/>
      <c r="AK34" s="34"/>
      <c r="AL34" s="34"/>
    </row>
    <row r="35" spans="5:38" x14ac:dyDescent="0.25">
      <c r="E35" s="25" t="str">
        <f t="shared" si="13"/>
        <v xml:space="preserve"> </v>
      </c>
      <c r="F35" s="26" t="str">
        <f t="shared" si="14"/>
        <v xml:space="preserve"> </v>
      </c>
      <c r="G35" s="27" t="str">
        <f t="shared" si="15"/>
        <v xml:space="preserve"> </v>
      </c>
      <c r="H35" s="28" t="str">
        <f t="shared" si="0"/>
        <v xml:space="preserve"> </v>
      </c>
      <c r="I35" s="3" t="str">
        <f t="shared" si="16"/>
        <v xml:space="preserve"> </v>
      </c>
      <c r="J35" s="3" t="str">
        <f t="shared" si="1"/>
        <v xml:space="preserve"> </v>
      </c>
      <c r="K35" s="3" t="str">
        <f t="shared" si="17"/>
        <v/>
      </c>
      <c r="L35" s="30" t="str">
        <f t="shared" si="2"/>
        <v/>
      </c>
      <c r="M35" s="29" t="str">
        <f t="shared" si="18"/>
        <v/>
      </c>
      <c r="N35" s="29" t="str">
        <f t="shared" si="22"/>
        <v/>
      </c>
      <c r="O35" s="29" t="str">
        <f t="shared" si="3"/>
        <v/>
      </c>
      <c r="P35" s="29" t="str">
        <f t="shared" si="4"/>
        <v/>
      </c>
      <c r="Q35" s="23" t="str">
        <f t="shared" si="5"/>
        <v/>
      </c>
      <c r="R35" s="5" t="str">
        <f t="shared" si="19"/>
        <v/>
      </c>
      <c r="S35" s="5" t="str">
        <f t="shared" si="20"/>
        <v/>
      </c>
      <c r="T35" s="5" t="str">
        <f t="shared" si="21"/>
        <v/>
      </c>
      <c r="U35" s="4" t="str">
        <f t="shared" si="6"/>
        <v xml:space="preserve"> </v>
      </c>
      <c r="V35" s="6" t="str">
        <f t="shared" si="7"/>
        <v xml:space="preserve"> </v>
      </c>
      <c r="W35" s="22" t="str">
        <f t="shared" si="8"/>
        <v/>
      </c>
      <c r="X35" s="22" t="str">
        <f t="shared" si="9"/>
        <v/>
      </c>
      <c r="Y35" s="22"/>
      <c r="AC35" s="2"/>
      <c r="AD35" s="2"/>
      <c r="AJ35" s="34"/>
      <c r="AK35" s="34"/>
      <c r="AL35" s="34"/>
    </row>
    <row r="36" spans="5:38" x14ac:dyDescent="0.25">
      <c r="E36" s="25" t="str">
        <f t="shared" si="13"/>
        <v xml:space="preserve"> </v>
      </c>
      <c r="F36" s="26" t="str">
        <f t="shared" si="14"/>
        <v xml:space="preserve"> </v>
      </c>
      <c r="G36" s="27" t="str">
        <f t="shared" si="15"/>
        <v xml:space="preserve"> </v>
      </c>
      <c r="H36" s="28" t="str">
        <f t="shared" si="0"/>
        <v xml:space="preserve"> </v>
      </c>
      <c r="I36" s="3" t="str">
        <f t="shared" si="16"/>
        <v xml:space="preserve"> </v>
      </c>
      <c r="J36" s="3" t="str">
        <f t="shared" si="1"/>
        <v xml:space="preserve"> </v>
      </c>
      <c r="K36" s="3" t="str">
        <f t="shared" si="17"/>
        <v/>
      </c>
      <c r="L36" s="30" t="str">
        <f t="shared" si="2"/>
        <v/>
      </c>
      <c r="M36" s="29" t="str">
        <f t="shared" si="18"/>
        <v/>
      </c>
      <c r="N36" s="29" t="str">
        <f t="shared" si="22"/>
        <v/>
      </c>
      <c r="O36" s="29" t="str">
        <f t="shared" si="3"/>
        <v/>
      </c>
      <c r="P36" s="29" t="str">
        <f t="shared" si="4"/>
        <v/>
      </c>
      <c r="Q36" s="23" t="str">
        <f t="shared" ref="Q36:Q69" si="23">IFERROR(IF(IF(DAY(DATE(MID(F36,7,4),3,0))=29,366,365)=366,"Y","N"),"")</f>
        <v/>
      </c>
      <c r="R36" s="5" t="str">
        <f t="shared" si="19"/>
        <v/>
      </c>
      <c r="S36" s="5" t="str">
        <f t="shared" si="20"/>
        <v/>
      </c>
      <c r="T36" s="5" t="str">
        <f t="shared" si="21"/>
        <v/>
      </c>
      <c r="U36" s="4" t="str">
        <f t="shared" ref="U36:U69" si="24">IFERROR(IF(E36=" "," ",IF($E36&lt;=$C$16,SUM(S36-R36)*$C$14/IF(DAY(DATE(MID(S36,7,4),3,0))=29,366,365),SUM(S36-R36)*$C$15/IF(DAY(DATE(MID(S36,7,4),3,0))=29,366,365))),"")</f>
        <v xml:space="preserve"> </v>
      </c>
      <c r="V36" s="6" t="str">
        <f t="shared" ref="V36:V69" si="25">IFERROR(IF(E36=" "," ",IF($E36&lt;=$C$16,SUM(T36-S36)*$C$14/IF(DAY(DATE(MID(T36,7,4),3,0))=29,366,365),SUM(T36-S36)*$C$15/IF(DAY(DATE(MID(T36,7,4),3,0))=29,366,365))),"")</f>
        <v xml:space="preserve"> </v>
      </c>
      <c r="W36" s="22" t="str">
        <f t="shared" ref="W36:W69" si="26">IFERROR(TRUNC(U36*M36,2),"")</f>
        <v/>
      </c>
      <c r="X36" s="22" t="str">
        <f t="shared" ref="X36:X69" si="27">IFERROR(TRUNC(V36*M36,2),"")</f>
        <v/>
      </c>
      <c r="Y36" s="22"/>
      <c r="AC36" s="2"/>
      <c r="AD36" s="2"/>
      <c r="AJ36" s="34"/>
      <c r="AK36" s="34"/>
      <c r="AL36" s="34"/>
    </row>
    <row r="37" spans="5:38" x14ac:dyDescent="0.25">
      <c r="E37" s="25" t="str">
        <f t="shared" si="13"/>
        <v xml:space="preserve"> </v>
      </c>
      <c r="F37" s="26" t="str">
        <f t="shared" si="14"/>
        <v xml:space="preserve"> </v>
      </c>
      <c r="G37" s="27" t="str">
        <f t="shared" si="15"/>
        <v xml:space="preserve"> </v>
      </c>
      <c r="H37" s="28" t="str">
        <f t="shared" si="0"/>
        <v xml:space="preserve"> </v>
      </c>
      <c r="I37" s="3" t="str">
        <f t="shared" si="16"/>
        <v xml:space="preserve"> </v>
      </c>
      <c r="J37" s="3" t="str">
        <f t="shared" si="1"/>
        <v xml:space="preserve"> </v>
      </c>
      <c r="K37" s="3" t="str">
        <f t="shared" si="17"/>
        <v/>
      </c>
      <c r="L37" s="30" t="str">
        <f t="shared" si="2"/>
        <v/>
      </c>
      <c r="M37" s="29" t="str">
        <f t="shared" si="18"/>
        <v/>
      </c>
      <c r="N37" s="29" t="str">
        <f t="shared" si="22"/>
        <v/>
      </c>
      <c r="O37" s="29" t="str">
        <f t="shared" si="3"/>
        <v/>
      </c>
      <c r="P37" s="29" t="str">
        <f t="shared" si="4"/>
        <v/>
      </c>
      <c r="Q37" s="23" t="str">
        <f t="shared" si="23"/>
        <v/>
      </c>
      <c r="R37" s="5" t="str">
        <f t="shared" ref="R37:R68" si="28">TEXT(IF(AND(Q36="N",Q37="Y"),EDATE($F$4,E37-2),IF(AND(Q36="Y",Q37="N"),EDATE($F$4,E37-2),"")),"DD/MM/YYYY")</f>
        <v/>
      </c>
      <c r="S37" s="5" t="str">
        <f t="shared" si="20"/>
        <v/>
      </c>
      <c r="T37" s="5" t="str">
        <f t="shared" si="21"/>
        <v/>
      </c>
      <c r="U37" s="4" t="str">
        <f t="shared" si="24"/>
        <v xml:space="preserve"> </v>
      </c>
      <c r="V37" s="6" t="str">
        <f t="shared" si="25"/>
        <v xml:space="preserve"> </v>
      </c>
      <c r="W37" s="22" t="str">
        <f t="shared" si="26"/>
        <v/>
      </c>
      <c r="X37" s="22" t="str">
        <f t="shared" si="27"/>
        <v/>
      </c>
      <c r="Y37" s="22"/>
      <c r="AC37" s="2"/>
      <c r="AD37" s="2"/>
      <c r="AJ37" s="34"/>
      <c r="AK37" s="34"/>
      <c r="AL37" s="34"/>
    </row>
    <row r="38" spans="5:38" x14ac:dyDescent="0.25">
      <c r="E38" s="25" t="str">
        <f t="shared" si="13"/>
        <v xml:space="preserve"> </v>
      </c>
      <c r="F38" s="26" t="str">
        <f t="shared" si="14"/>
        <v xml:space="preserve"> </v>
      </c>
      <c r="G38" s="27" t="str">
        <f t="shared" si="15"/>
        <v xml:space="preserve"> </v>
      </c>
      <c r="H38" s="28" t="str">
        <f t="shared" si="0"/>
        <v xml:space="preserve"> </v>
      </c>
      <c r="I38" s="3" t="str">
        <f t="shared" si="16"/>
        <v xml:space="preserve"> </v>
      </c>
      <c r="J38" s="3" t="str">
        <f t="shared" si="1"/>
        <v xml:space="preserve"> </v>
      </c>
      <c r="K38" s="3" t="str">
        <f t="shared" si="17"/>
        <v/>
      </c>
      <c r="L38" s="30" t="str">
        <f t="shared" si="2"/>
        <v/>
      </c>
      <c r="M38" s="29" t="str">
        <f t="shared" si="18"/>
        <v/>
      </c>
      <c r="N38" s="29" t="str">
        <f t="shared" si="22"/>
        <v/>
      </c>
      <c r="O38" s="29" t="str">
        <f t="shared" si="3"/>
        <v/>
      </c>
      <c r="P38" s="29" t="str">
        <f t="shared" si="4"/>
        <v/>
      </c>
      <c r="Q38" s="23" t="str">
        <f t="shared" si="23"/>
        <v/>
      </c>
      <c r="R38" s="5" t="str">
        <f t="shared" si="28"/>
        <v/>
      </c>
      <c r="S38" s="5" t="str">
        <f t="shared" si="20"/>
        <v/>
      </c>
      <c r="T38" s="5" t="str">
        <f t="shared" si="21"/>
        <v/>
      </c>
      <c r="U38" s="4" t="str">
        <f t="shared" si="24"/>
        <v xml:space="preserve"> </v>
      </c>
      <c r="V38" s="6" t="str">
        <f t="shared" si="25"/>
        <v xml:space="preserve"> </v>
      </c>
      <c r="W38" s="22" t="str">
        <f t="shared" si="26"/>
        <v/>
      </c>
      <c r="X38" s="22" t="str">
        <f t="shared" si="27"/>
        <v/>
      </c>
      <c r="Y38" s="22"/>
      <c r="AC38" s="2"/>
      <c r="AD38" s="2"/>
      <c r="AJ38" s="34"/>
      <c r="AK38" s="34"/>
      <c r="AL38" s="34"/>
    </row>
    <row r="39" spans="5:38" x14ac:dyDescent="0.25">
      <c r="E39" s="25" t="str">
        <f t="shared" si="13"/>
        <v xml:space="preserve"> </v>
      </c>
      <c r="F39" s="26" t="str">
        <f t="shared" si="14"/>
        <v xml:space="preserve"> </v>
      </c>
      <c r="G39" s="27" t="str">
        <f t="shared" si="15"/>
        <v xml:space="preserve"> </v>
      </c>
      <c r="H39" s="28" t="str">
        <f t="shared" si="0"/>
        <v xml:space="preserve"> </v>
      </c>
      <c r="I39" s="3" t="str">
        <f t="shared" si="16"/>
        <v xml:space="preserve"> </v>
      </c>
      <c r="J39" s="3" t="str">
        <f t="shared" si="1"/>
        <v xml:space="preserve"> </v>
      </c>
      <c r="K39" s="3" t="str">
        <f t="shared" si="17"/>
        <v/>
      </c>
      <c r="L39" s="30" t="str">
        <f t="shared" si="2"/>
        <v/>
      </c>
      <c r="M39" s="29" t="str">
        <f t="shared" si="18"/>
        <v/>
      </c>
      <c r="N39" s="29" t="str">
        <f t="shared" si="22"/>
        <v/>
      </c>
      <c r="O39" s="29" t="str">
        <f t="shared" si="3"/>
        <v/>
      </c>
      <c r="P39" s="29" t="str">
        <f t="shared" si="4"/>
        <v/>
      </c>
      <c r="Q39" s="23" t="str">
        <f t="shared" si="23"/>
        <v/>
      </c>
      <c r="R39" s="5" t="str">
        <f t="shared" si="28"/>
        <v/>
      </c>
      <c r="S39" s="5" t="str">
        <f t="shared" si="20"/>
        <v/>
      </c>
      <c r="T39" s="5" t="str">
        <f t="shared" si="21"/>
        <v/>
      </c>
      <c r="U39" s="4" t="str">
        <f t="shared" si="24"/>
        <v xml:space="preserve"> </v>
      </c>
      <c r="V39" s="6" t="str">
        <f t="shared" si="25"/>
        <v xml:space="preserve"> </v>
      </c>
      <c r="W39" s="22" t="str">
        <f t="shared" si="26"/>
        <v/>
      </c>
      <c r="X39" s="22" t="str">
        <f t="shared" si="27"/>
        <v/>
      </c>
      <c r="Y39" s="22"/>
      <c r="AC39" s="2"/>
      <c r="AD39" s="2"/>
      <c r="AJ39" s="34"/>
      <c r="AK39" s="34"/>
      <c r="AL39" s="34"/>
    </row>
    <row r="40" spans="5:38" x14ac:dyDescent="0.25">
      <c r="E40" s="25" t="str">
        <f t="shared" si="13"/>
        <v xml:space="preserve"> </v>
      </c>
      <c r="F40" s="26" t="str">
        <f t="shared" si="14"/>
        <v xml:space="preserve"> </v>
      </c>
      <c r="G40" s="27" t="str">
        <f t="shared" si="15"/>
        <v xml:space="preserve"> </v>
      </c>
      <c r="H40" s="28" t="str">
        <f t="shared" si="0"/>
        <v xml:space="preserve"> </v>
      </c>
      <c r="I40" s="3" t="str">
        <f t="shared" si="16"/>
        <v xml:space="preserve"> </v>
      </c>
      <c r="J40" s="3" t="str">
        <f t="shared" si="1"/>
        <v xml:space="preserve"> </v>
      </c>
      <c r="K40" s="3" t="str">
        <f t="shared" si="17"/>
        <v/>
      </c>
      <c r="L40" s="30" t="str">
        <f t="shared" si="2"/>
        <v/>
      </c>
      <c r="M40" s="29" t="str">
        <f t="shared" si="18"/>
        <v/>
      </c>
      <c r="N40" s="29" t="str">
        <f t="shared" si="22"/>
        <v/>
      </c>
      <c r="O40" s="29" t="str">
        <f t="shared" si="3"/>
        <v/>
      </c>
      <c r="P40" s="29" t="str">
        <f t="shared" si="4"/>
        <v/>
      </c>
      <c r="Q40" s="23" t="str">
        <f t="shared" si="23"/>
        <v/>
      </c>
      <c r="R40" s="5" t="str">
        <f t="shared" si="28"/>
        <v/>
      </c>
      <c r="S40" s="5" t="str">
        <f t="shared" si="20"/>
        <v/>
      </c>
      <c r="T40" s="5" t="str">
        <f t="shared" si="21"/>
        <v/>
      </c>
      <c r="U40" s="4" t="str">
        <f t="shared" si="24"/>
        <v xml:space="preserve"> </v>
      </c>
      <c r="V40" s="6" t="str">
        <f t="shared" si="25"/>
        <v xml:space="preserve"> </v>
      </c>
      <c r="W40" s="22" t="str">
        <f t="shared" si="26"/>
        <v/>
      </c>
      <c r="X40" s="22" t="str">
        <f t="shared" si="27"/>
        <v/>
      </c>
      <c r="Y40" s="22"/>
      <c r="AC40" s="2"/>
      <c r="AD40" s="2"/>
      <c r="AJ40" s="34"/>
      <c r="AK40" s="34"/>
      <c r="AL40" s="34"/>
    </row>
    <row r="41" spans="5:38" x14ac:dyDescent="0.25">
      <c r="E41" s="25" t="str">
        <f t="shared" si="13"/>
        <v xml:space="preserve"> </v>
      </c>
      <c r="F41" s="26" t="str">
        <f t="shared" si="14"/>
        <v xml:space="preserve"> </v>
      </c>
      <c r="G41" s="27" t="str">
        <f t="shared" si="15"/>
        <v xml:space="preserve"> </v>
      </c>
      <c r="H41" s="28" t="str">
        <f t="shared" si="0"/>
        <v xml:space="preserve"> </v>
      </c>
      <c r="I41" s="3" t="str">
        <f t="shared" si="16"/>
        <v xml:space="preserve"> </v>
      </c>
      <c r="J41" s="3" t="str">
        <f t="shared" si="1"/>
        <v xml:space="preserve"> </v>
      </c>
      <c r="K41" s="3" t="str">
        <f t="shared" si="17"/>
        <v/>
      </c>
      <c r="L41" s="30" t="str">
        <f t="shared" si="2"/>
        <v/>
      </c>
      <c r="M41" s="29" t="str">
        <f t="shared" si="18"/>
        <v/>
      </c>
      <c r="N41" s="29" t="str">
        <f t="shared" si="22"/>
        <v/>
      </c>
      <c r="O41" s="29" t="str">
        <f t="shared" si="3"/>
        <v/>
      </c>
      <c r="P41" s="29" t="str">
        <f t="shared" si="4"/>
        <v/>
      </c>
      <c r="Q41" s="23" t="str">
        <f t="shared" si="23"/>
        <v/>
      </c>
      <c r="R41" s="5" t="str">
        <f t="shared" si="28"/>
        <v/>
      </c>
      <c r="S41" s="5" t="str">
        <f t="shared" si="20"/>
        <v/>
      </c>
      <c r="T41" s="5" t="str">
        <f t="shared" si="21"/>
        <v/>
      </c>
      <c r="U41" s="4" t="str">
        <f t="shared" si="24"/>
        <v xml:space="preserve"> </v>
      </c>
      <c r="V41" s="6" t="str">
        <f t="shared" si="25"/>
        <v xml:space="preserve"> </v>
      </c>
      <c r="W41" s="22" t="str">
        <f t="shared" si="26"/>
        <v/>
      </c>
      <c r="X41" s="22" t="str">
        <f t="shared" si="27"/>
        <v/>
      </c>
      <c r="Y41" s="22"/>
      <c r="AC41" s="2"/>
      <c r="AD41" s="2"/>
      <c r="AJ41" s="34"/>
      <c r="AK41" s="34"/>
      <c r="AL41" s="34"/>
    </row>
    <row r="42" spans="5:38" x14ac:dyDescent="0.25">
      <c r="E42" s="25" t="str">
        <f t="shared" si="13"/>
        <v xml:space="preserve"> </v>
      </c>
      <c r="F42" s="26" t="str">
        <f t="shared" si="14"/>
        <v xml:space="preserve"> </v>
      </c>
      <c r="G42" s="27" t="str">
        <f t="shared" si="15"/>
        <v xml:space="preserve"> </v>
      </c>
      <c r="H42" s="28" t="str">
        <f t="shared" si="0"/>
        <v xml:space="preserve"> </v>
      </c>
      <c r="I42" s="3" t="str">
        <f t="shared" si="16"/>
        <v xml:space="preserve"> </v>
      </c>
      <c r="J42" s="3" t="str">
        <f t="shared" si="1"/>
        <v xml:space="preserve"> </v>
      </c>
      <c r="K42" s="3" t="str">
        <f t="shared" si="17"/>
        <v/>
      </c>
      <c r="L42" s="30" t="str">
        <f t="shared" si="2"/>
        <v/>
      </c>
      <c r="M42" s="29" t="str">
        <f t="shared" si="18"/>
        <v/>
      </c>
      <c r="N42" s="29" t="str">
        <f t="shared" si="22"/>
        <v/>
      </c>
      <c r="O42" s="29" t="str">
        <f t="shared" si="3"/>
        <v/>
      </c>
      <c r="P42" s="29" t="str">
        <f t="shared" si="4"/>
        <v/>
      </c>
      <c r="Q42" s="23" t="str">
        <f t="shared" si="23"/>
        <v/>
      </c>
      <c r="R42" s="5" t="str">
        <f t="shared" si="28"/>
        <v/>
      </c>
      <c r="S42" s="5" t="str">
        <f t="shared" si="20"/>
        <v/>
      </c>
      <c r="T42" s="5" t="str">
        <f t="shared" si="21"/>
        <v/>
      </c>
      <c r="U42" s="4" t="str">
        <f t="shared" si="24"/>
        <v xml:space="preserve"> </v>
      </c>
      <c r="V42" s="6" t="str">
        <f t="shared" si="25"/>
        <v xml:space="preserve"> </v>
      </c>
      <c r="W42" s="22" t="str">
        <f t="shared" si="26"/>
        <v/>
      </c>
      <c r="X42" s="22" t="str">
        <f t="shared" si="27"/>
        <v/>
      </c>
      <c r="Y42" s="22"/>
      <c r="AC42" s="2"/>
      <c r="AD42" s="2"/>
      <c r="AJ42" s="34"/>
      <c r="AK42" s="34"/>
      <c r="AL42" s="34"/>
    </row>
    <row r="43" spans="5:38" x14ac:dyDescent="0.25">
      <c r="E43" s="25" t="str">
        <f t="shared" si="13"/>
        <v xml:space="preserve"> </v>
      </c>
      <c r="F43" s="26" t="str">
        <f t="shared" si="14"/>
        <v xml:space="preserve"> </v>
      </c>
      <c r="G43" s="27" t="str">
        <f t="shared" si="15"/>
        <v xml:space="preserve"> </v>
      </c>
      <c r="H43" s="28" t="str">
        <f t="shared" si="0"/>
        <v xml:space="preserve"> </v>
      </c>
      <c r="I43" s="3" t="str">
        <f t="shared" si="16"/>
        <v xml:space="preserve"> </v>
      </c>
      <c r="J43" s="3" t="str">
        <f t="shared" si="1"/>
        <v xml:space="preserve"> </v>
      </c>
      <c r="K43" s="3" t="str">
        <f t="shared" si="17"/>
        <v/>
      </c>
      <c r="L43" s="30" t="str">
        <f t="shared" si="2"/>
        <v/>
      </c>
      <c r="M43" s="29" t="str">
        <f t="shared" si="18"/>
        <v/>
      </c>
      <c r="N43" s="29" t="str">
        <f t="shared" si="22"/>
        <v/>
      </c>
      <c r="O43" s="29" t="str">
        <f t="shared" si="3"/>
        <v/>
      </c>
      <c r="P43" s="29" t="str">
        <f t="shared" si="4"/>
        <v/>
      </c>
      <c r="Q43" s="23" t="str">
        <f t="shared" si="23"/>
        <v/>
      </c>
      <c r="R43" s="5" t="str">
        <f t="shared" si="28"/>
        <v/>
      </c>
      <c r="S43" s="5" t="str">
        <f t="shared" si="20"/>
        <v/>
      </c>
      <c r="T43" s="5" t="str">
        <f t="shared" si="21"/>
        <v/>
      </c>
      <c r="U43" s="4" t="str">
        <f t="shared" si="24"/>
        <v xml:space="preserve"> </v>
      </c>
      <c r="V43" s="6" t="str">
        <f t="shared" si="25"/>
        <v xml:space="preserve"> </v>
      </c>
      <c r="W43" s="22" t="str">
        <f t="shared" si="26"/>
        <v/>
      </c>
      <c r="X43" s="22" t="str">
        <f t="shared" si="27"/>
        <v/>
      </c>
      <c r="Y43" s="22"/>
      <c r="AC43" s="2"/>
      <c r="AD43" s="2"/>
      <c r="AJ43" s="34"/>
      <c r="AK43" s="34"/>
      <c r="AL43" s="34"/>
    </row>
    <row r="44" spans="5:38" x14ac:dyDescent="0.25">
      <c r="E44" s="25" t="str">
        <f t="shared" si="13"/>
        <v xml:space="preserve"> </v>
      </c>
      <c r="F44" s="26" t="str">
        <f t="shared" si="14"/>
        <v xml:space="preserve"> </v>
      </c>
      <c r="G44" s="27" t="str">
        <f t="shared" si="15"/>
        <v xml:space="preserve"> </v>
      </c>
      <c r="H44" s="28" t="str">
        <f t="shared" si="0"/>
        <v xml:space="preserve"> </v>
      </c>
      <c r="I44" s="3" t="str">
        <f t="shared" si="16"/>
        <v xml:space="preserve"> </v>
      </c>
      <c r="J44" s="3" t="str">
        <f t="shared" si="1"/>
        <v xml:space="preserve"> </v>
      </c>
      <c r="K44" s="3" t="str">
        <f t="shared" si="17"/>
        <v/>
      </c>
      <c r="L44" s="30" t="str">
        <f t="shared" si="2"/>
        <v/>
      </c>
      <c r="M44" s="29" t="str">
        <f t="shared" si="18"/>
        <v/>
      </c>
      <c r="N44" s="29" t="str">
        <f t="shared" si="22"/>
        <v/>
      </c>
      <c r="O44" s="29" t="str">
        <f t="shared" si="3"/>
        <v/>
      </c>
      <c r="P44" s="29" t="str">
        <f t="shared" si="4"/>
        <v/>
      </c>
      <c r="Q44" s="23" t="str">
        <f t="shared" si="23"/>
        <v/>
      </c>
      <c r="R44" s="5" t="str">
        <f t="shared" si="28"/>
        <v/>
      </c>
      <c r="S44" s="5" t="str">
        <f t="shared" si="20"/>
        <v/>
      </c>
      <c r="T44" s="5" t="str">
        <f t="shared" si="21"/>
        <v/>
      </c>
      <c r="U44" s="4" t="str">
        <f t="shared" si="24"/>
        <v xml:space="preserve"> </v>
      </c>
      <c r="V44" s="6" t="str">
        <f t="shared" si="25"/>
        <v xml:space="preserve"> </v>
      </c>
      <c r="W44" s="22" t="str">
        <f t="shared" si="26"/>
        <v/>
      </c>
      <c r="X44" s="22" t="str">
        <f t="shared" si="27"/>
        <v/>
      </c>
      <c r="Y44" s="22"/>
      <c r="AC44" s="2"/>
      <c r="AD44" s="2"/>
      <c r="AJ44" s="34"/>
      <c r="AK44" s="34"/>
      <c r="AL44" s="34"/>
    </row>
    <row r="45" spans="5:38" x14ac:dyDescent="0.25">
      <c r="E45" s="25" t="str">
        <f t="shared" si="13"/>
        <v xml:space="preserve"> </v>
      </c>
      <c r="F45" s="26" t="str">
        <f t="shared" si="14"/>
        <v xml:space="preserve"> </v>
      </c>
      <c r="G45" s="27" t="str">
        <f t="shared" si="15"/>
        <v xml:space="preserve"> </v>
      </c>
      <c r="H45" s="28" t="str">
        <f t="shared" si="0"/>
        <v xml:space="preserve"> </v>
      </c>
      <c r="I45" s="3" t="str">
        <f t="shared" si="16"/>
        <v xml:space="preserve"> </v>
      </c>
      <c r="J45" s="3" t="str">
        <f t="shared" si="1"/>
        <v xml:space="preserve"> </v>
      </c>
      <c r="K45" s="3" t="str">
        <f t="shared" si="17"/>
        <v/>
      </c>
      <c r="L45" s="30" t="str">
        <f t="shared" si="2"/>
        <v/>
      </c>
      <c r="M45" s="29" t="str">
        <f t="shared" si="18"/>
        <v/>
      </c>
      <c r="N45" s="29" t="str">
        <f t="shared" si="22"/>
        <v/>
      </c>
      <c r="O45" s="29" t="str">
        <f t="shared" si="3"/>
        <v/>
      </c>
      <c r="P45" s="29" t="str">
        <f t="shared" si="4"/>
        <v/>
      </c>
      <c r="Q45" s="23" t="str">
        <f t="shared" si="23"/>
        <v/>
      </c>
      <c r="R45" s="5" t="str">
        <f t="shared" si="28"/>
        <v/>
      </c>
      <c r="S45" s="5" t="str">
        <f t="shared" si="20"/>
        <v/>
      </c>
      <c r="T45" s="5" t="str">
        <f t="shared" si="21"/>
        <v/>
      </c>
      <c r="U45" s="4" t="str">
        <f t="shared" si="24"/>
        <v xml:space="preserve"> </v>
      </c>
      <c r="V45" s="6" t="str">
        <f t="shared" si="25"/>
        <v xml:space="preserve"> </v>
      </c>
      <c r="W45" s="22" t="str">
        <f t="shared" si="26"/>
        <v/>
      </c>
      <c r="X45" s="22" t="str">
        <f t="shared" si="27"/>
        <v/>
      </c>
      <c r="Y45" s="22"/>
      <c r="AC45" s="2"/>
      <c r="AD45" s="2"/>
      <c r="AJ45" s="34"/>
      <c r="AK45" s="34"/>
      <c r="AL45" s="34"/>
    </row>
    <row r="46" spans="5:38" x14ac:dyDescent="0.25">
      <c r="E46" s="25" t="str">
        <f t="shared" si="13"/>
        <v xml:space="preserve"> </v>
      </c>
      <c r="F46" s="26" t="str">
        <f t="shared" si="14"/>
        <v xml:space="preserve"> </v>
      </c>
      <c r="G46" s="27" t="str">
        <f t="shared" si="15"/>
        <v xml:space="preserve"> </v>
      </c>
      <c r="H46" s="28" t="str">
        <f t="shared" si="0"/>
        <v xml:space="preserve"> </v>
      </c>
      <c r="I46" s="3" t="str">
        <f t="shared" si="16"/>
        <v xml:space="preserve"> </v>
      </c>
      <c r="J46" s="3" t="str">
        <f t="shared" si="1"/>
        <v xml:space="preserve"> </v>
      </c>
      <c r="K46" s="3" t="str">
        <f t="shared" si="17"/>
        <v/>
      </c>
      <c r="L46" s="30" t="str">
        <f t="shared" si="2"/>
        <v/>
      </c>
      <c r="M46" s="29" t="str">
        <f t="shared" si="18"/>
        <v/>
      </c>
      <c r="N46" s="29" t="str">
        <f t="shared" si="22"/>
        <v/>
      </c>
      <c r="O46" s="29" t="str">
        <f t="shared" si="3"/>
        <v/>
      </c>
      <c r="P46" s="29" t="str">
        <f t="shared" si="4"/>
        <v/>
      </c>
      <c r="Q46" s="23" t="str">
        <f t="shared" si="23"/>
        <v/>
      </c>
      <c r="R46" s="5" t="str">
        <f t="shared" si="28"/>
        <v/>
      </c>
      <c r="S46" s="5" t="str">
        <f t="shared" si="20"/>
        <v/>
      </c>
      <c r="T46" s="5" t="str">
        <f t="shared" si="21"/>
        <v/>
      </c>
      <c r="U46" s="4" t="str">
        <f t="shared" si="24"/>
        <v xml:space="preserve"> </v>
      </c>
      <c r="V46" s="6" t="str">
        <f t="shared" si="25"/>
        <v xml:space="preserve"> </v>
      </c>
      <c r="W46" s="22" t="str">
        <f t="shared" si="26"/>
        <v/>
      </c>
      <c r="X46" s="22" t="str">
        <f t="shared" si="27"/>
        <v/>
      </c>
      <c r="Y46" s="22"/>
      <c r="AC46" s="2"/>
      <c r="AD46" s="2"/>
      <c r="AJ46" s="34"/>
      <c r="AK46" s="34"/>
      <c r="AL46" s="34"/>
    </row>
    <row r="47" spans="5:38" x14ac:dyDescent="0.25">
      <c r="E47" s="25" t="str">
        <f t="shared" si="13"/>
        <v xml:space="preserve"> </v>
      </c>
      <c r="F47" s="26" t="str">
        <f t="shared" si="14"/>
        <v xml:space="preserve"> </v>
      </c>
      <c r="G47" s="27" t="str">
        <f t="shared" si="15"/>
        <v xml:space="preserve"> </v>
      </c>
      <c r="H47" s="28" t="str">
        <f t="shared" si="0"/>
        <v xml:space="preserve"> </v>
      </c>
      <c r="I47" s="3" t="str">
        <f t="shared" si="16"/>
        <v xml:space="preserve"> </v>
      </c>
      <c r="J47" s="3" t="str">
        <f t="shared" si="1"/>
        <v xml:space="preserve"> </v>
      </c>
      <c r="K47" s="3" t="str">
        <f t="shared" si="17"/>
        <v/>
      </c>
      <c r="L47" s="30" t="str">
        <f t="shared" si="2"/>
        <v/>
      </c>
      <c r="M47" s="29" t="str">
        <f t="shared" si="18"/>
        <v/>
      </c>
      <c r="N47" s="29" t="str">
        <f t="shared" si="22"/>
        <v/>
      </c>
      <c r="O47" s="29" t="str">
        <f t="shared" si="3"/>
        <v/>
      </c>
      <c r="P47" s="29" t="str">
        <f t="shared" si="4"/>
        <v/>
      </c>
      <c r="Q47" s="23" t="str">
        <f t="shared" si="23"/>
        <v/>
      </c>
      <c r="R47" s="5" t="str">
        <f t="shared" si="28"/>
        <v/>
      </c>
      <c r="S47" s="5" t="str">
        <f t="shared" si="20"/>
        <v/>
      </c>
      <c r="T47" s="5" t="str">
        <f t="shared" si="21"/>
        <v/>
      </c>
      <c r="U47" s="4" t="str">
        <f t="shared" si="24"/>
        <v xml:space="preserve"> </v>
      </c>
      <c r="V47" s="6" t="str">
        <f t="shared" si="25"/>
        <v xml:space="preserve"> </v>
      </c>
      <c r="W47" s="22" t="str">
        <f t="shared" si="26"/>
        <v/>
      </c>
      <c r="X47" s="22" t="str">
        <f t="shared" si="27"/>
        <v/>
      </c>
      <c r="Y47" s="22"/>
      <c r="AC47" s="2"/>
      <c r="AD47" s="2"/>
      <c r="AJ47" s="34"/>
      <c r="AK47" s="34"/>
      <c r="AL47" s="34"/>
    </row>
    <row r="48" spans="5:38" x14ac:dyDescent="0.25">
      <c r="E48" s="25" t="str">
        <f t="shared" si="13"/>
        <v xml:space="preserve"> </v>
      </c>
      <c r="F48" s="26" t="str">
        <f t="shared" si="14"/>
        <v xml:space="preserve"> </v>
      </c>
      <c r="G48" s="27" t="str">
        <f t="shared" si="15"/>
        <v xml:space="preserve"> </v>
      </c>
      <c r="H48" s="28" t="str">
        <f t="shared" si="0"/>
        <v xml:space="preserve"> </v>
      </c>
      <c r="I48" s="3" t="str">
        <f t="shared" si="16"/>
        <v xml:space="preserve"> </v>
      </c>
      <c r="J48" s="3" t="str">
        <f t="shared" si="1"/>
        <v xml:space="preserve"> </v>
      </c>
      <c r="K48" s="3" t="str">
        <f t="shared" si="17"/>
        <v/>
      </c>
      <c r="L48" s="30" t="str">
        <f t="shared" si="2"/>
        <v/>
      </c>
      <c r="M48" s="29" t="str">
        <f t="shared" si="18"/>
        <v/>
      </c>
      <c r="N48" s="29" t="str">
        <f t="shared" si="22"/>
        <v/>
      </c>
      <c r="O48" s="29" t="str">
        <f t="shared" si="3"/>
        <v/>
      </c>
      <c r="P48" s="29" t="str">
        <f t="shared" si="4"/>
        <v/>
      </c>
      <c r="Q48" s="23" t="str">
        <f t="shared" si="23"/>
        <v/>
      </c>
      <c r="R48" s="5" t="str">
        <f t="shared" si="28"/>
        <v/>
      </c>
      <c r="S48" s="5" t="str">
        <f t="shared" si="20"/>
        <v/>
      </c>
      <c r="T48" s="5" t="str">
        <f t="shared" si="21"/>
        <v/>
      </c>
      <c r="U48" s="4" t="str">
        <f t="shared" si="24"/>
        <v xml:space="preserve"> </v>
      </c>
      <c r="V48" s="6" t="str">
        <f t="shared" si="25"/>
        <v xml:space="preserve"> </v>
      </c>
      <c r="W48" s="22" t="str">
        <f t="shared" si="26"/>
        <v/>
      </c>
      <c r="X48" s="22" t="str">
        <f t="shared" si="27"/>
        <v/>
      </c>
      <c r="Y48" s="22"/>
      <c r="AC48" s="2"/>
      <c r="AD48" s="2"/>
      <c r="AJ48" s="34"/>
      <c r="AK48" s="34"/>
      <c r="AL48" s="34"/>
    </row>
    <row r="49" spans="5:38" x14ac:dyDescent="0.25">
      <c r="E49" s="25" t="str">
        <f t="shared" si="13"/>
        <v xml:space="preserve"> </v>
      </c>
      <c r="F49" s="26" t="str">
        <f t="shared" si="14"/>
        <v xml:space="preserve"> </v>
      </c>
      <c r="G49" s="27" t="str">
        <f t="shared" si="15"/>
        <v xml:space="preserve"> </v>
      </c>
      <c r="H49" s="28" t="str">
        <f t="shared" si="0"/>
        <v xml:space="preserve"> </v>
      </c>
      <c r="I49" s="3" t="str">
        <f t="shared" si="16"/>
        <v xml:space="preserve"> </v>
      </c>
      <c r="J49" s="3" t="str">
        <f t="shared" si="1"/>
        <v xml:space="preserve"> </v>
      </c>
      <c r="K49" s="3" t="str">
        <f t="shared" si="17"/>
        <v/>
      </c>
      <c r="L49" s="30" t="str">
        <f t="shared" si="2"/>
        <v/>
      </c>
      <c r="M49" s="29" t="str">
        <f t="shared" si="18"/>
        <v/>
      </c>
      <c r="N49" s="29" t="str">
        <f t="shared" si="22"/>
        <v/>
      </c>
      <c r="O49" s="29" t="str">
        <f t="shared" si="3"/>
        <v/>
      </c>
      <c r="P49" s="29" t="str">
        <f t="shared" si="4"/>
        <v/>
      </c>
      <c r="Q49" s="23" t="str">
        <f t="shared" si="23"/>
        <v/>
      </c>
      <c r="R49" s="5" t="str">
        <f t="shared" si="28"/>
        <v/>
      </c>
      <c r="S49" s="5" t="str">
        <f t="shared" si="20"/>
        <v/>
      </c>
      <c r="T49" s="5" t="str">
        <f t="shared" si="21"/>
        <v/>
      </c>
      <c r="U49" s="4" t="str">
        <f t="shared" si="24"/>
        <v xml:space="preserve"> </v>
      </c>
      <c r="V49" s="6" t="str">
        <f t="shared" si="25"/>
        <v xml:space="preserve"> </v>
      </c>
      <c r="W49" s="22" t="str">
        <f t="shared" si="26"/>
        <v/>
      </c>
      <c r="X49" s="22" t="str">
        <f t="shared" si="27"/>
        <v/>
      </c>
      <c r="Y49" s="22"/>
      <c r="AC49" s="2"/>
      <c r="AD49" s="2"/>
      <c r="AJ49" s="34"/>
      <c r="AK49" s="34"/>
      <c r="AL49" s="34"/>
    </row>
    <row r="50" spans="5:38" x14ac:dyDescent="0.25">
      <c r="E50" s="25" t="str">
        <f t="shared" si="13"/>
        <v xml:space="preserve"> </v>
      </c>
      <c r="F50" s="26" t="str">
        <f t="shared" si="14"/>
        <v xml:space="preserve"> </v>
      </c>
      <c r="G50" s="27" t="str">
        <f t="shared" si="15"/>
        <v xml:space="preserve"> </v>
      </c>
      <c r="H50" s="28" t="str">
        <f t="shared" si="0"/>
        <v xml:space="preserve"> </v>
      </c>
      <c r="I50" s="3" t="str">
        <f t="shared" si="16"/>
        <v xml:space="preserve"> </v>
      </c>
      <c r="J50" s="3" t="str">
        <f t="shared" si="1"/>
        <v xml:space="preserve"> </v>
      </c>
      <c r="K50" s="3" t="str">
        <f t="shared" si="17"/>
        <v/>
      </c>
      <c r="L50" s="30" t="str">
        <f t="shared" si="2"/>
        <v/>
      </c>
      <c r="M50" s="29" t="str">
        <f t="shared" si="18"/>
        <v/>
      </c>
      <c r="N50" s="29" t="str">
        <f t="shared" si="22"/>
        <v/>
      </c>
      <c r="O50" s="29" t="str">
        <f t="shared" si="3"/>
        <v/>
      </c>
      <c r="P50" s="29" t="str">
        <f t="shared" si="4"/>
        <v/>
      </c>
      <c r="Q50" s="23" t="str">
        <f t="shared" si="23"/>
        <v/>
      </c>
      <c r="R50" s="5" t="str">
        <f t="shared" si="28"/>
        <v/>
      </c>
      <c r="S50" s="5" t="str">
        <f t="shared" si="20"/>
        <v/>
      </c>
      <c r="T50" s="5" t="str">
        <f t="shared" si="21"/>
        <v/>
      </c>
      <c r="U50" s="4" t="str">
        <f t="shared" si="24"/>
        <v xml:space="preserve"> </v>
      </c>
      <c r="V50" s="6" t="str">
        <f t="shared" si="25"/>
        <v xml:space="preserve"> </v>
      </c>
      <c r="W50" s="22" t="str">
        <f t="shared" si="26"/>
        <v/>
      </c>
      <c r="X50" s="22" t="str">
        <f t="shared" si="27"/>
        <v/>
      </c>
      <c r="Y50" s="22"/>
      <c r="AC50" s="2"/>
      <c r="AD50" s="2"/>
      <c r="AJ50" s="34"/>
      <c r="AK50" s="34"/>
      <c r="AL50" s="34"/>
    </row>
    <row r="51" spans="5:38" x14ac:dyDescent="0.25">
      <c r="E51" s="25" t="str">
        <f t="shared" si="13"/>
        <v xml:space="preserve"> </v>
      </c>
      <c r="F51" s="26" t="str">
        <f t="shared" si="14"/>
        <v xml:space="preserve"> </v>
      </c>
      <c r="G51" s="27" t="str">
        <f t="shared" si="15"/>
        <v xml:space="preserve"> </v>
      </c>
      <c r="H51" s="28" t="str">
        <f t="shared" si="0"/>
        <v xml:space="preserve"> </v>
      </c>
      <c r="I51" s="3" t="str">
        <f t="shared" si="16"/>
        <v xml:space="preserve"> </v>
      </c>
      <c r="J51" s="3" t="str">
        <f t="shared" si="1"/>
        <v xml:space="preserve"> </v>
      </c>
      <c r="K51" s="3" t="str">
        <f t="shared" si="17"/>
        <v/>
      </c>
      <c r="L51" s="30" t="str">
        <f t="shared" si="2"/>
        <v/>
      </c>
      <c r="M51" s="29" t="str">
        <f t="shared" si="18"/>
        <v/>
      </c>
      <c r="N51" s="29" t="str">
        <f t="shared" si="22"/>
        <v/>
      </c>
      <c r="O51" s="29" t="str">
        <f t="shared" si="3"/>
        <v/>
      </c>
      <c r="P51" s="29" t="str">
        <f t="shared" si="4"/>
        <v/>
      </c>
      <c r="Q51" s="23" t="str">
        <f t="shared" si="23"/>
        <v/>
      </c>
      <c r="R51" s="5" t="str">
        <f t="shared" si="28"/>
        <v/>
      </c>
      <c r="S51" s="5" t="str">
        <f t="shared" si="20"/>
        <v/>
      </c>
      <c r="T51" s="5" t="str">
        <f t="shared" si="21"/>
        <v/>
      </c>
      <c r="U51" s="4" t="str">
        <f t="shared" si="24"/>
        <v xml:space="preserve"> </v>
      </c>
      <c r="V51" s="6" t="str">
        <f t="shared" si="25"/>
        <v xml:space="preserve"> </v>
      </c>
      <c r="W51" s="22" t="str">
        <f t="shared" si="26"/>
        <v/>
      </c>
      <c r="X51" s="22" t="str">
        <f t="shared" si="27"/>
        <v/>
      </c>
      <c r="Y51" s="22"/>
      <c r="AC51" s="2"/>
      <c r="AD51" s="2"/>
      <c r="AJ51" s="34"/>
      <c r="AK51" s="34"/>
      <c r="AL51" s="34"/>
    </row>
    <row r="52" spans="5:38" x14ac:dyDescent="0.25">
      <c r="E52" s="25" t="str">
        <f t="shared" si="13"/>
        <v xml:space="preserve"> </v>
      </c>
      <c r="F52" s="26" t="str">
        <f t="shared" si="14"/>
        <v xml:space="preserve"> </v>
      </c>
      <c r="G52" s="27" t="str">
        <f t="shared" si="15"/>
        <v xml:space="preserve"> </v>
      </c>
      <c r="H52" s="28" t="str">
        <f t="shared" si="0"/>
        <v xml:space="preserve"> </v>
      </c>
      <c r="I52" s="3" t="str">
        <f t="shared" si="16"/>
        <v xml:space="preserve"> </v>
      </c>
      <c r="J52" s="3" t="str">
        <f t="shared" si="1"/>
        <v xml:space="preserve"> </v>
      </c>
      <c r="K52" s="3" t="str">
        <f t="shared" si="17"/>
        <v/>
      </c>
      <c r="L52" s="30" t="str">
        <f t="shared" si="2"/>
        <v/>
      </c>
      <c r="M52" s="29" t="str">
        <f t="shared" si="18"/>
        <v/>
      </c>
      <c r="N52" s="29" t="str">
        <f t="shared" si="22"/>
        <v/>
      </c>
      <c r="O52" s="29" t="str">
        <f t="shared" si="3"/>
        <v/>
      </c>
      <c r="P52" s="29" t="str">
        <f t="shared" si="4"/>
        <v/>
      </c>
      <c r="Q52" s="23" t="str">
        <f t="shared" si="23"/>
        <v/>
      </c>
      <c r="R52" s="5" t="str">
        <f t="shared" si="28"/>
        <v/>
      </c>
      <c r="S52" s="5" t="str">
        <f t="shared" si="20"/>
        <v/>
      </c>
      <c r="T52" s="5" t="str">
        <f t="shared" si="21"/>
        <v/>
      </c>
      <c r="U52" s="4" t="str">
        <f t="shared" si="24"/>
        <v xml:space="preserve"> </v>
      </c>
      <c r="V52" s="6" t="str">
        <f t="shared" si="25"/>
        <v xml:space="preserve"> </v>
      </c>
      <c r="W52" s="22" t="str">
        <f t="shared" si="26"/>
        <v/>
      </c>
      <c r="X52" s="22" t="str">
        <f t="shared" si="27"/>
        <v/>
      </c>
      <c r="Y52" s="22"/>
      <c r="AC52" s="2"/>
      <c r="AD52" s="2"/>
      <c r="AJ52" s="34"/>
      <c r="AK52" s="34"/>
      <c r="AL52" s="34"/>
    </row>
    <row r="53" spans="5:38" x14ac:dyDescent="0.25">
      <c r="E53" s="25" t="str">
        <f t="shared" si="13"/>
        <v xml:space="preserve"> </v>
      </c>
      <c r="F53" s="26" t="str">
        <f t="shared" si="14"/>
        <v xml:space="preserve"> </v>
      </c>
      <c r="G53" s="27" t="str">
        <f t="shared" si="15"/>
        <v xml:space="preserve"> </v>
      </c>
      <c r="H53" s="28" t="str">
        <f t="shared" si="0"/>
        <v xml:space="preserve"> </v>
      </c>
      <c r="I53" s="3" t="str">
        <f t="shared" si="16"/>
        <v xml:space="preserve"> </v>
      </c>
      <c r="J53" s="3" t="str">
        <f t="shared" si="1"/>
        <v xml:space="preserve"> </v>
      </c>
      <c r="K53" s="3" t="str">
        <f t="shared" si="17"/>
        <v/>
      </c>
      <c r="L53" s="30" t="str">
        <f t="shared" si="2"/>
        <v/>
      </c>
      <c r="M53" s="29" t="str">
        <f t="shared" si="18"/>
        <v/>
      </c>
      <c r="N53" s="29" t="str">
        <f t="shared" si="22"/>
        <v/>
      </c>
      <c r="O53" s="29" t="str">
        <f t="shared" si="3"/>
        <v/>
      </c>
      <c r="P53" s="29" t="str">
        <f t="shared" si="4"/>
        <v/>
      </c>
      <c r="Q53" s="23" t="str">
        <f t="shared" si="23"/>
        <v/>
      </c>
      <c r="R53" s="5" t="str">
        <f t="shared" si="28"/>
        <v/>
      </c>
      <c r="S53" s="5" t="str">
        <f t="shared" si="20"/>
        <v/>
      </c>
      <c r="T53" s="5" t="str">
        <f t="shared" si="21"/>
        <v/>
      </c>
      <c r="U53" s="4" t="str">
        <f t="shared" si="24"/>
        <v xml:space="preserve"> </v>
      </c>
      <c r="V53" s="6" t="str">
        <f t="shared" si="25"/>
        <v xml:space="preserve"> </v>
      </c>
      <c r="W53" s="22" t="str">
        <f t="shared" si="26"/>
        <v/>
      </c>
      <c r="X53" s="22" t="str">
        <f t="shared" si="27"/>
        <v/>
      </c>
      <c r="Y53" s="22"/>
      <c r="AC53" s="2"/>
      <c r="AD53" s="2"/>
      <c r="AJ53" s="34"/>
      <c r="AK53" s="34"/>
      <c r="AL53" s="34"/>
    </row>
    <row r="54" spans="5:38" x14ac:dyDescent="0.25">
      <c r="E54" s="25" t="str">
        <f t="shared" si="13"/>
        <v xml:space="preserve"> </v>
      </c>
      <c r="F54" s="26" t="str">
        <f t="shared" si="14"/>
        <v xml:space="preserve"> </v>
      </c>
      <c r="G54" s="27" t="str">
        <f t="shared" si="15"/>
        <v xml:space="preserve"> </v>
      </c>
      <c r="H54" s="28" t="str">
        <f t="shared" si="0"/>
        <v xml:space="preserve"> </v>
      </c>
      <c r="I54" s="3" t="str">
        <f t="shared" si="16"/>
        <v xml:space="preserve"> </v>
      </c>
      <c r="J54" s="3" t="str">
        <f t="shared" si="1"/>
        <v xml:space="preserve"> </v>
      </c>
      <c r="K54" s="3" t="str">
        <f t="shared" si="17"/>
        <v/>
      </c>
      <c r="L54" s="30" t="str">
        <f t="shared" si="2"/>
        <v/>
      </c>
      <c r="M54" s="29" t="str">
        <f t="shared" si="18"/>
        <v/>
      </c>
      <c r="N54" s="29" t="str">
        <f t="shared" si="22"/>
        <v/>
      </c>
      <c r="O54" s="29" t="str">
        <f t="shared" si="3"/>
        <v/>
      </c>
      <c r="P54" s="29" t="str">
        <f t="shared" si="4"/>
        <v/>
      </c>
      <c r="Q54" s="23" t="str">
        <f t="shared" si="23"/>
        <v/>
      </c>
      <c r="R54" s="5" t="str">
        <f t="shared" si="28"/>
        <v/>
      </c>
      <c r="S54" s="5" t="str">
        <f t="shared" si="20"/>
        <v/>
      </c>
      <c r="T54" s="5" t="str">
        <f t="shared" si="21"/>
        <v/>
      </c>
      <c r="U54" s="4" t="str">
        <f t="shared" si="24"/>
        <v xml:space="preserve"> </v>
      </c>
      <c r="V54" s="6" t="str">
        <f t="shared" si="25"/>
        <v xml:space="preserve"> </v>
      </c>
      <c r="W54" s="22" t="str">
        <f t="shared" si="26"/>
        <v/>
      </c>
      <c r="X54" s="22" t="str">
        <f t="shared" si="27"/>
        <v/>
      </c>
      <c r="Y54" s="22"/>
      <c r="AC54" s="2"/>
      <c r="AD54" s="2"/>
      <c r="AJ54" s="34"/>
      <c r="AK54" s="34"/>
      <c r="AL54" s="34"/>
    </row>
    <row r="55" spans="5:38" x14ac:dyDescent="0.25">
      <c r="E55" s="25" t="str">
        <f t="shared" si="13"/>
        <v xml:space="preserve"> </v>
      </c>
      <c r="F55" s="26" t="str">
        <f t="shared" si="14"/>
        <v xml:space="preserve"> </v>
      </c>
      <c r="G55" s="27" t="str">
        <f t="shared" si="15"/>
        <v xml:space="preserve"> </v>
      </c>
      <c r="H55" s="28" t="str">
        <f t="shared" si="0"/>
        <v xml:space="preserve"> </v>
      </c>
      <c r="I55" s="3" t="str">
        <f t="shared" si="16"/>
        <v xml:space="preserve"> </v>
      </c>
      <c r="J55" s="3" t="str">
        <f t="shared" si="1"/>
        <v xml:space="preserve"> </v>
      </c>
      <c r="K55" s="3" t="str">
        <f t="shared" si="17"/>
        <v/>
      </c>
      <c r="L55" s="30" t="str">
        <f t="shared" si="2"/>
        <v/>
      </c>
      <c r="M55" s="29" t="str">
        <f t="shared" si="18"/>
        <v/>
      </c>
      <c r="N55" s="29" t="str">
        <f t="shared" si="22"/>
        <v/>
      </c>
      <c r="O55" s="29" t="str">
        <f t="shared" si="3"/>
        <v/>
      </c>
      <c r="P55" s="29" t="str">
        <f t="shared" si="4"/>
        <v/>
      </c>
      <c r="Q55" s="23" t="str">
        <f t="shared" si="23"/>
        <v/>
      </c>
      <c r="R55" s="5" t="str">
        <f t="shared" si="28"/>
        <v/>
      </c>
      <c r="S55" s="5" t="str">
        <f t="shared" si="20"/>
        <v/>
      </c>
      <c r="T55" s="5" t="str">
        <f t="shared" si="21"/>
        <v/>
      </c>
      <c r="U55" s="4" t="str">
        <f t="shared" si="24"/>
        <v xml:space="preserve"> </v>
      </c>
      <c r="V55" s="6" t="str">
        <f t="shared" si="25"/>
        <v xml:space="preserve"> </v>
      </c>
      <c r="W55" s="22" t="str">
        <f t="shared" si="26"/>
        <v/>
      </c>
      <c r="X55" s="22" t="str">
        <f t="shared" si="27"/>
        <v/>
      </c>
      <c r="Y55" s="22"/>
      <c r="AC55" s="2"/>
      <c r="AD55" s="2"/>
      <c r="AJ55" s="34"/>
      <c r="AK55" s="34"/>
      <c r="AL55" s="34"/>
    </row>
    <row r="56" spans="5:38" x14ac:dyDescent="0.25">
      <c r="E56" s="25" t="str">
        <f t="shared" si="13"/>
        <v xml:space="preserve"> </v>
      </c>
      <c r="F56" s="26" t="str">
        <f t="shared" si="14"/>
        <v xml:space="preserve"> </v>
      </c>
      <c r="G56" s="27" t="str">
        <f t="shared" si="15"/>
        <v xml:space="preserve"> </v>
      </c>
      <c r="H56" s="28" t="str">
        <f t="shared" si="0"/>
        <v xml:space="preserve"> </v>
      </c>
      <c r="I56" s="3" t="str">
        <f t="shared" si="16"/>
        <v xml:space="preserve"> </v>
      </c>
      <c r="J56" s="3" t="str">
        <f t="shared" si="1"/>
        <v xml:space="preserve"> </v>
      </c>
      <c r="K56" s="3" t="str">
        <f t="shared" si="17"/>
        <v/>
      </c>
      <c r="L56" s="30" t="str">
        <f t="shared" si="2"/>
        <v/>
      </c>
      <c r="M56" s="29" t="str">
        <f t="shared" si="18"/>
        <v/>
      </c>
      <c r="N56" s="29" t="str">
        <f t="shared" si="22"/>
        <v/>
      </c>
      <c r="O56" s="29" t="str">
        <f t="shared" si="3"/>
        <v/>
      </c>
      <c r="P56" s="29" t="str">
        <f t="shared" si="4"/>
        <v/>
      </c>
      <c r="Q56" s="23" t="str">
        <f t="shared" si="23"/>
        <v/>
      </c>
      <c r="R56" s="5" t="str">
        <f t="shared" si="28"/>
        <v/>
      </c>
      <c r="S56" s="5" t="str">
        <f t="shared" si="20"/>
        <v/>
      </c>
      <c r="T56" s="5" t="str">
        <f t="shared" si="21"/>
        <v/>
      </c>
      <c r="U56" s="4" t="str">
        <f t="shared" si="24"/>
        <v xml:space="preserve"> </v>
      </c>
      <c r="V56" s="6" t="str">
        <f t="shared" si="25"/>
        <v xml:space="preserve"> </v>
      </c>
      <c r="W56" s="22" t="str">
        <f t="shared" si="26"/>
        <v/>
      </c>
      <c r="X56" s="22" t="str">
        <f t="shared" si="27"/>
        <v/>
      </c>
      <c r="Y56" s="22"/>
      <c r="AC56" s="2"/>
      <c r="AD56" s="2"/>
      <c r="AJ56" s="34"/>
      <c r="AK56" s="34"/>
      <c r="AL56" s="34"/>
    </row>
    <row r="57" spans="5:38" x14ac:dyDescent="0.25">
      <c r="E57" s="25" t="str">
        <f t="shared" si="13"/>
        <v xml:space="preserve"> </v>
      </c>
      <c r="F57" s="26" t="str">
        <f t="shared" si="14"/>
        <v xml:space="preserve"> </v>
      </c>
      <c r="G57" s="27" t="str">
        <f t="shared" si="15"/>
        <v xml:space="preserve"> </v>
      </c>
      <c r="H57" s="28" t="str">
        <f t="shared" si="0"/>
        <v xml:space="preserve"> </v>
      </c>
      <c r="I57" s="3" t="str">
        <f t="shared" si="16"/>
        <v xml:space="preserve"> </v>
      </c>
      <c r="J57" s="3" t="str">
        <f t="shared" si="1"/>
        <v xml:space="preserve"> </v>
      </c>
      <c r="K57" s="3" t="str">
        <f t="shared" si="17"/>
        <v/>
      </c>
      <c r="L57" s="30" t="str">
        <f t="shared" si="2"/>
        <v/>
      </c>
      <c r="M57" s="29" t="str">
        <f t="shared" si="18"/>
        <v/>
      </c>
      <c r="N57" s="29" t="str">
        <f t="shared" si="22"/>
        <v/>
      </c>
      <c r="O57" s="29" t="str">
        <f t="shared" si="3"/>
        <v/>
      </c>
      <c r="P57" s="29" t="str">
        <f t="shared" si="4"/>
        <v/>
      </c>
      <c r="Q57" s="23" t="str">
        <f t="shared" si="23"/>
        <v/>
      </c>
      <c r="R57" s="5" t="str">
        <f t="shared" si="28"/>
        <v/>
      </c>
      <c r="S57" s="5" t="str">
        <f t="shared" si="20"/>
        <v/>
      </c>
      <c r="T57" s="5" t="str">
        <f t="shared" si="21"/>
        <v/>
      </c>
      <c r="U57" s="4" t="str">
        <f t="shared" si="24"/>
        <v xml:space="preserve"> </v>
      </c>
      <c r="V57" s="6" t="str">
        <f t="shared" si="25"/>
        <v xml:space="preserve"> </v>
      </c>
      <c r="W57" s="22" t="str">
        <f t="shared" si="26"/>
        <v/>
      </c>
      <c r="X57" s="22" t="str">
        <f t="shared" si="27"/>
        <v/>
      </c>
      <c r="Y57" s="22"/>
      <c r="AC57" s="2"/>
      <c r="AD57" s="2"/>
      <c r="AJ57" s="34"/>
      <c r="AK57" s="34"/>
      <c r="AL57" s="34"/>
    </row>
    <row r="58" spans="5:38" x14ac:dyDescent="0.25">
      <c r="E58" s="25" t="str">
        <f t="shared" si="13"/>
        <v xml:space="preserve"> </v>
      </c>
      <c r="F58" s="26" t="str">
        <f t="shared" si="14"/>
        <v xml:space="preserve"> </v>
      </c>
      <c r="G58" s="27" t="str">
        <f t="shared" si="15"/>
        <v xml:space="preserve"> </v>
      </c>
      <c r="H58" s="28" t="str">
        <f t="shared" si="0"/>
        <v xml:space="preserve"> </v>
      </c>
      <c r="I58" s="3" t="str">
        <f t="shared" si="16"/>
        <v xml:space="preserve"> </v>
      </c>
      <c r="J58" s="3" t="str">
        <f t="shared" si="1"/>
        <v xml:space="preserve"> </v>
      </c>
      <c r="K58" s="3" t="str">
        <f t="shared" si="17"/>
        <v/>
      </c>
      <c r="L58" s="30" t="str">
        <f t="shared" si="2"/>
        <v/>
      </c>
      <c r="M58" s="29" t="str">
        <f t="shared" si="18"/>
        <v/>
      </c>
      <c r="N58" s="29" t="str">
        <f t="shared" si="22"/>
        <v/>
      </c>
      <c r="O58" s="29" t="str">
        <f t="shared" si="3"/>
        <v/>
      </c>
      <c r="P58" s="29" t="str">
        <f t="shared" si="4"/>
        <v/>
      </c>
      <c r="Q58" s="23" t="str">
        <f t="shared" si="23"/>
        <v/>
      </c>
      <c r="R58" s="5" t="str">
        <f t="shared" si="28"/>
        <v/>
      </c>
      <c r="S58" s="5" t="str">
        <f t="shared" si="20"/>
        <v/>
      </c>
      <c r="T58" s="5" t="str">
        <f t="shared" si="21"/>
        <v/>
      </c>
      <c r="U58" s="4" t="str">
        <f t="shared" si="24"/>
        <v xml:space="preserve"> </v>
      </c>
      <c r="V58" s="6" t="str">
        <f t="shared" si="25"/>
        <v xml:space="preserve"> </v>
      </c>
      <c r="W58" s="22" t="str">
        <f t="shared" si="26"/>
        <v/>
      </c>
      <c r="X58" s="22" t="str">
        <f t="shared" si="27"/>
        <v/>
      </c>
      <c r="Y58" s="22"/>
      <c r="AC58" s="2"/>
      <c r="AD58" s="2"/>
      <c r="AJ58" s="34"/>
      <c r="AK58" s="34"/>
      <c r="AL58" s="34"/>
    </row>
    <row r="59" spans="5:38" x14ac:dyDescent="0.25">
      <c r="E59" s="25" t="str">
        <f t="shared" si="13"/>
        <v xml:space="preserve"> </v>
      </c>
      <c r="F59" s="26" t="str">
        <f t="shared" si="14"/>
        <v xml:space="preserve"> </v>
      </c>
      <c r="G59" s="27" t="str">
        <f t="shared" si="15"/>
        <v xml:space="preserve"> </v>
      </c>
      <c r="H59" s="28" t="str">
        <f t="shared" si="0"/>
        <v xml:space="preserve"> </v>
      </c>
      <c r="I59" s="3" t="str">
        <f t="shared" si="16"/>
        <v xml:space="preserve"> </v>
      </c>
      <c r="J59" s="3" t="str">
        <f t="shared" si="1"/>
        <v xml:space="preserve"> </v>
      </c>
      <c r="K59" s="3" t="str">
        <f t="shared" si="17"/>
        <v/>
      </c>
      <c r="L59" s="30" t="str">
        <f t="shared" si="2"/>
        <v/>
      </c>
      <c r="M59" s="29" t="str">
        <f t="shared" si="18"/>
        <v/>
      </c>
      <c r="N59" s="29" t="str">
        <f t="shared" si="22"/>
        <v/>
      </c>
      <c r="O59" s="29" t="str">
        <f t="shared" si="3"/>
        <v/>
      </c>
      <c r="P59" s="29" t="str">
        <f t="shared" si="4"/>
        <v/>
      </c>
      <c r="Q59" s="23" t="str">
        <f t="shared" si="23"/>
        <v/>
      </c>
      <c r="R59" s="5" t="str">
        <f t="shared" si="28"/>
        <v/>
      </c>
      <c r="S59" s="5" t="str">
        <f t="shared" si="20"/>
        <v/>
      </c>
      <c r="T59" s="5" t="str">
        <f t="shared" si="21"/>
        <v/>
      </c>
      <c r="U59" s="4" t="str">
        <f t="shared" si="24"/>
        <v xml:space="preserve"> </v>
      </c>
      <c r="V59" s="6" t="str">
        <f t="shared" si="25"/>
        <v xml:space="preserve"> </v>
      </c>
      <c r="W59" s="22" t="str">
        <f t="shared" si="26"/>
        <v/>
      </c>
      <c r="X59" s="22" t="str">
        <f t="shared" si="27"/>
        <v/>
      </c>
      <c r="Y59" s="22"/>
      <c r="AC59" s="2"/>
      <c r="AD59" s="2"/>
      <c r="AJ59" s="34"/>
      <c r="AK59" s="34"/>
      <c r="AL59" s="34"/>
    </row>
    <row r="60" spans="5:38" x14ac:dyDescent="0.25">
      <c r="E60" s="25" t="str">
        <f t="shared" si="13"/>
        <v xml:space="preserve"> </v>
      </c>
      <c r="F60" s="26" t="str">
        <f t="shared" si="14"/>
        <v xml:space="preserve"> </v>
      </c>
      <c r="G60" s="27" t="str">
        <f t="shared" si="15"/>
        <v xml:space="preserve"> </v>
      </c>
      <c r="H60" s="28" t="str">
        <f t="shared" si="0"/>
        <v xml:space="preserve"> </v>
      </c>
      <c r="I60" s="3" t="str">
        <f t="shared" si="16"/>
        <v xml:space="preserve"> </v>
      </c>
      <c r="J60" s="3" t="str">
        <f t="shared" si="1"/>
        <v xml:space="preserve"> </v>
      </c>
      <c r="K60" s="3" t="str">
        <f t="shared" si="17"/>
        <v/>
      </c>
      <c r="L60" s="30" t="str">
        <f t="shared" si="2"/>
        <v/>
      </c>
      <c r="M60" s="29" t="str">
        <f t="shared" si="18"/>
        <v/>
      </c>
      <c r="N60" s="29" t="str">
        <f t="shared" si="22"/>
        <v/>
      </c>
      <c r="O60" s="29" t="str">
        <f t="shared" si="3"/>
        <v/>
      </c>
      <c r="P60" s="29" t="str">
        <f t="shared" si="4"/>
        <v/>
      </c>
      <c r="Q60" s="23" t="str">
        <f t="shared" si="23"/>
        <v/>
      </c>
      <c r="R60" s="5" t="str">
        <f t="shared" si="28"/>
        <v/>
      </c>
      <c r="S60" s="5" t="str">
        <f t="shared" si="20"/>
        <v/>
      </c>
      <c r="T60" s="5" t="str">
        <f t="shared" si="21"/>
        <v/>
      </c>
      <c r="U60" s="4" t="str">
        <f t="shared" si="24"/>
        <v xml:space="preserve"> </v>
      </c>
      <c r="V60" s="6" t="str">
        <f t="shared" si="25"/>
        <v xml:space="preserve"> </v>
      </c>
      <c r="W60" s="22" t="str">
        <f t="shared" si="26"/>
        <v/>
      </c>
      <c r="X60" s="22" t="str">
        <f t="shared" si="27"/>
        <v/>
      </c>
      <c r="Y60" s="22"/>
      <c r="AC60" s="2"/>
      <c r="AD60" s="2"/>
      <c r="AJ60" s="34"/>
      <c r="AK60" s="34"/>
      <c r="AL60" s="34"/>
    </row>
    <row r="61" spans="5:38" x14ac:dyDescent="0.25">
      <c r="E61" s="25" t="str">
        <f t="shared" si="13"/>
        <v xml:space="preserve"> </v>
      </c>
      <c r="F61" s="26" t="str">
        <f t="shared" si="14"/>
        <v xml:space="preserve"> </v>
      </c>
      <c r="G61" s="27" t="str">
        <f t="shared" si="15"/>
        <v xml:space="preserve"> </v>
      </c>
      <c r="H61" s="28" t="str">
        <f t="shared" si="0"/>
        <v xml:space="preserve"> </v>
      </c>
      <c r="I61" s="3" t="str">
        <f t="shared" si="16"/>
        <v xml:space="preserve"> </v>
      </c>
      <c r="J61" s="3" t="str">
        <f t="shared" si="1"/>
        <v xml:space="preserve"> </v>
      </c>
      <c r="K61" s="3" t="str">
        <f t="shared" si="17"/>
        <v/>
      </c>
      <c r="L61" s="30" t="str">
        <f t="shared" si="2"/>
        <v/>
      </c>
      <c r="M61" s="29" t="str">
        <f t="shared" si="18"/>
        <v/>
      </c>
      <c r="N61" s="29" t="str">
        <f t="shared" si="22"/>
        <v/>
      </c>
      <c r="O61" s="29" t="str">
        <f t="shared" si="3"/>
        <v/>
      </c>
      <c r="P61" s="29" t="str">
        <f t="shared" si="4"/>
        <v/>
      </c>
      <c r="Q61" s="23" t="str">
        <f t="shared" si="23"/>
        <v/>
      </c>
      <c r="R61" s="5" t="str">
        <f t="shared" si="28"/>
        <v/>
      </c>
      <c r="S61" s="5" t="str">
        <f t="shared" si="20"/>
        <v/>
      </c>
      <c r="T61" s="5" t="str">
        <f t="shared" si="21"/>
        <v/>
      </c>
      <c r="U61" s="4" t="str">
        <f t="shared" si="24"/>
        <v xml:space="preserve"> </v>
      </c>
      <c r="V61" s="6" t="str">
        <f t="shared" si="25"/>
        <v xml:space="preserve"> </v>
      </c>
      <c r="W61" s="22" t="str">
        <f t="shared" si="26"/>
        <v/>
      </c>
      <c r="X61" s="22" t="str">
        <f t="shared" si="27"/>
        <v/>
      </c>
      <c r="Y61" s="22"/>
      <c r="AC61" s="2"/>
      <c r="AD61" s="2"/>
      <c r="AJ61" s="34"/>
      <c r="AK61" s="34"/>
      <c r="AL61" s="34"/>
    </row>
    <row r="62" spans="5:38" x14ac:dyDescent="0.25">
      <c r="E62" s="25" t="str">
        <f t="shared" si="13"/>
        <v xml:space="preserve"> </v>
      </c>
      <c r="F62" s="26" t="str">
        <f t="shared" si="14"/>
        <v xml:space="preserve"> </v>
      </c>
      <c r="G62" s="27" t="str">
        <f t="shared" si="15"/>
        <v xml:space="preserve"> </v>
      </c>
      <c r="H62" s="28" t="str">
        <f t="shared" si="0"/>
        <v xml:space="preserve"> </v>
      </c>
      <c r="I62" s="3" t="str">
        <f t="shared" si="16"/>
        <v xml:space="preserve"> </v>
      </c>
      <c r="J62" s="3" t="str">
        <f t="shared" si="1"/>
        <v xml:space="preserve"> </v>
      </c>
      <c r="K62" s="3" t="str">
        <f t="shared" si="17"/>
        <v/>
      </c>
      <c r="L62" s="30" t="str">
        <f t="shared" si="2"/>
        <v/>
      </c>
      <c r="M62" s="29" t="str">
        <f t="shared" si="18"/>
        <v/>
      </c>
      <c r="N62" s="29" t="str">
        <f t="shared" si="22"/>
        <v/>
      </c>
      <c r="O62" s="29" t="str">
        <f t="shared" si="3"/>
        <v/>
      </c>
      <c r="P62" s="29" t="str">
        <f t="shared" si="4"/>
        <v/>
      </c>
      <c r="Q62" s="23" t="str">
        <f t="shared" si="23"/>
        <v/>
      </c>
      <c r="R62" s="5" t="str">
        <f t="shared" si="28"/>
        <v/>
      </c>
      <c r="S62" s="5" t="str">
        <f t="shared" si="20"/>
        <v/>
      </c>
      <c r="T62" s="5" t="str">
        <f t="shared" si="21"/>
        <v/>
      </c>
      <c r="U62" s="4" t="str">
        <f t="shared" si="24"/>
        <v xml:space="preserve"> </v>
      </c>
      <c r="V62" s="6" t="str">
        <f t="shared" si="25"/>
        <v xml:space="preserve"> </v>
      </c>
      <c r="W62" s="22" t="str">
        <f t="shared" si="26"/>
        <v/>
      </c>
      <c r="X62" s="22" t="str">
        <f t="shared" si="27"/>
        <v/>
      </c>
      <c r="Y62" s="22"/>
      <c r="AC62" s="2"/>
      <c r="AD62" s="2"/>
      <c r="AJ62" s="34"/>
      <c r="AK62" s="34"/>
      <c r="AL62" s="34"/>
    </row>
    <row r="63" spans="5:38" x14ac:dyDescent="0.25">
      <c r="E63" s="25" t="str">
        <f t="shared" si="13"/>
        <v xml:space="preserve"> </v>
      </c>
      <c r="F63" s="26" t="str">
        <f t="shared" si="14"/>
        <v xml:space="preserve"> </v>
      </c>
      <c r="G63" s="27" t="str">
        <f t="shared" si="15"/>
        <v xml:space="preserve"> </v>
      </c>
      <c r="H63" s="28" t="str">
        <f t="shared" si="0"/>
        <v xml:space="preserve"> </v>
      </c>
      <c r="I63" s="3" t="str">
        <f t="shared" si="16"/>
        <v xml:space="preserve"> </v>
      </c>
      <c r="J63" s="3" t="str">
        <f t="shared" si="1"/>
        <v xml:space="preserve"> </v>
      </c>
      <c r="K63" s="3" t="str">
        <f t="shared" si="17"/>
        <v/>
      </c>
      <c r="L63" s="30" t="str">
        <f t="shared" si="2"/>
        <v/>
      </c>
      <c r="M63" s="29" t="str">
        <f t="shared" si="18"/>
        <v/>
      </c>
      <c r="N63" s="29" t="str">
        <f t="shared" si="22"/>
        <v/>
      </c>
      <c r="O63" s="29" t="str">
        <f t="shared" si="3"/>
        <v/>
      </c>
      <c r="P63" s="29" t="str">
        <f t="shared" si="4"/>
        <v/>
      </c>
      <c r="Q63" s="23" t="str">
        <f t="shared" si="23"/>
        <v/>
      </c>
      <c r="R63" s="5" t="str">
        <f t="shared" si="28"/>
        <v/>
      </c>
      <c r="S63" s="5" t="str">
        <f t="shared" si="20"/>
        <v/>
      </c>
      <c r="T63" s="5" t="str">
        <f t="shared" si="21"/>
        <v/>
      </c>
      <c r="U63" s="4" t="str">
        <f t="shared" si="24"/>
        <v xml:space="preserve"> </v>
      </c>
      <c r="V63" s="6" t="str">
        <f t="shared" si="25"/>
        <v xml:space="preserve"> </v>
      </c>
      <c r="W63" s="22" t="str">
        <f t="shared" si="26"/>
        <v/>
      </c>
      <c r="X63" s="22" t="str">
        <f t="shared" si="27"/>
        <v/>
      </c>
      <c r="Y63" s="22"/>
      <c r="AC63" s="2"/>
      <c r="AD63" s="2"/>
      <c r="AJ63" s="34"/>
      <c r="AK63" s="34"/>
      <c r="AL63" s="34"/>
    </row>
    <row r="64" spans="5:38" x14ac:dyDescent="0.25">
      <c r="E64" s="25" t="str">
        <f t="shared" si="13"/>
        <v xml:space="preserve"> </v>
      </c>
      <c r="F64" s="26" t="str">
        <f t="shared" si="14"/>
        <v xml:space="preserve"> </v>
      </c>
      <c r="G64" s="27" t="str">
        <f t="shared" si="15"/>
        <v xml:space="preserve"> </v>
      </c>
      <c r="H64" s="28" t="str">
        <f t="shared" si="0"/>
        <v xml:space="preserve"> </v>
      </c>
      <c r="I64" s="3" t="str">
        <f t="shared" si="16"/>
        <v xml:space="preserve"> </v>
      </c>
      <c r="J64" s="3" t="str">
        <f t="shared" si="1"/>
        <v xml:space="preserve"> </v>
      </c>
      <c r="K64" s="3" t="str">
        <f t="shared" si="17"/>
        <v/>
      </c>
      <c r="L64" s="30" t="str">
        <f t="shared" ref="L64:L69" si="29">IFERROR(ROUND(IF($C$18=" "," ",$C$13/K64),2),"")</f>
        <v/>
      </c>
      <c r="M64" s="29" t="str">
        <f t="shared" si="18"/>
        <v/>
      </c>
      <c r="N64" s="29" t="str">
        <f t="shared" si="22"/>
        <v/>
      </c>
      <c r="O64" s="29" t="str">
        <f t="shared" si="3"/>
        <v/>
      </c>
      <c r="P64" s="29" t="str">
        <f t="shared" si="4"/>
        <v/>
      </c>
      <c r="Q64" s="23" t="str">
        <f t="shared" si="23"/>
        <v/>
      </c>
      <c r="R64" s="5" t="str">
        <f t="shared" si="28"/>
        <v/>
      </c>
      <c r="S64" s="5" t="str">
        <f t="shared" si="20"/>
        <v/>
      </c>
      <c r="T64" s="5" t="str">
        <f t="shared" si="21"/>
        <v/>
      </c>
      <c r="U64" s="4" t="str">
        <f t="shared" si="24"/>
        <v xml:space="preserve"> </v>
      </c>
      <c r="V64" s="6" t="str">
        <f t="shared" si="25"/>
        <v xml:space="preserve"> </v>
      </c>
      <c r="W64" s="22" t="str">
        <f t="shared" si="26"/>
        <v/>
      </c>
      <c r="X64" s="22" t="str">
        <f t="shared" si="27"/>
        <v/>
      </c>
      <c r="Y64" s="22"/>
    </row>
    <row r="65" spans="5:25" x14ac:dyDescent="0.25">
      <c r="E65" s="25" t="str">
        <f t="shared" si="13"/>
        <v xml:space="preserve"> </v>
      </c>
      <c r="F65" s="26" t="str">
        <f t="shared" si="14"/>
        <v xml:space="preserve"> </v>
      </c>
      <c r="G65" s="27" t="str">
        <f t="shared" si="15"/>
        <v xml:space="preserve"> </v>
      </c>
      <c r="H65" s="28" t="str">
        <f t="shared" si="0"/>
        <v xml:space="preserve"> </v>
      </c>
      <c r="I65" s="3" t="str">
        <f t="shared" si="16"/>
        <v xml:space="preserve"> </v>
      </c>
      <c r="J65" s="3" t="str">
        <f t="shared" si="1"/>
        <v xml:space="preserve"> </v>
      </c>
      <c r="K65" s="3" t="str">
        <f t="shared" si="17"/>
        <v/>
      </c>
      <c r="L65" s="30" t="str">
        <f t="shared" si="29"/>
        <v/>
      </c>
      <c r="M65" s="29" t="str">
        <f t="shared" si="18"/>
        <v/>
      </c>
      <c r="N65" s="29" t="str">
        <f t="shared" si="22"/>
        <v/>
      </c>
      <c r="O65" s="29" t="str">
        <f t="shared" si="3"/>
        <v/>
      </c>
      <c r="P65" s="29" t="str">
        <f t="shared" si="4"/>
        <v/>
      </c>
      <c r="Q65" s="23" t="str">
        <f t="shared" si="23"/>
        <v/>
      </c>
      <c r="R65" s="5" t="str">
        <f t="shared" si="28"/>
        <v/>
      </c>
      <c r="S65" s="5" t="str">
        <f t="shared" si="20"/>
        <v/>
      </c>
      <c r="T65" s="5" t="str">
        <f t="shared" si="21"/>
        <v/>
      </c>
      <c r="U65" s="4" t="str">
        <f t="shared" si="24"/>
        <v xml:space="preserve"> </v>
      </c>
      <c r="V65" s="6" t="str">
        <f t="shared" si="25"/>
        <v xml:space="preserve"> </v>
      </c>
      <c r="W65" s="22" t="str">
        <f t="shared" si="26"/>
        <v/>
      </c>
      <c r="X65" s="22" t="str">
        <f t="shared" si="27"/>
        <v/>
      </c>
      <c r="Y65" s="22"/>
    </row>
    <row r="66" spans="5:25" x14ac:dyDescent="0.25">
      <c r="E66" s="25" t="str">
        <f t="shared" si="13"/>
        <v xml:space="preserve"> </v>
      </c>
      <c r="F66" s="26" t="str">
        <f t="shared" si="14"/>
        <v xml:space="preserve"> </v>
      </c>
      <c r="G66" s="27" t="str">
        <f t="shared" si="15"/>
        <v xml:space="preserve"> </v>
      </c>
      <c r="H66" s="28" t="str">
        <f t="shared" si="0"/>
        <v xml:space="preserve"> </v>
      </c>
      <c r="I66" s="3" t="str">
        <f t="shared" si="16"/>
        <v xml:space="preserve"> </v>
      </c>
      <c r="J66" s="3" t="str">
        <f t="shared" si="1"/>
        <v xml:space="preserve"> </v>
      </c>
      <c r="K66" s="3" t="str">
        <f t="shared" si="17"/>
        <v/>
      </c>
      <c r="L66" s="30" t="str">
        <f t="shared" si="29"/>
        <v/>
      </c>
      <c r="M66" s="29" t="str">
        <f t="shared" si="18"/>
        <v/>
      </c>
      <c r="N66" s="29" t="str">
        <f t="shared" si="22"/>
        <v/>
      </c>
      <c r="O66" s="29" t="str">
        <f t="shared" si="3"/>
        <v/>
      </c>
      <c r="P66" s="29" t="str">
        <f t="shared" si="4"/>
        <v/>
      </c>
      <c r="Q66" s="23" t="str">
        <f t="shared" si="23"/>
        <v/>
      </c>
      <c r="R66" s="5" t="str">
        <f t="shared" si="28"/>
        <v/>
      </c>
      <c r="S66" s="5" t="str">
        <f t="shared" si="20"/>
        <v/>
      </c>
      <c r="T66" s="5" t="str">
        <f t="shared" si="21"/>
        <v/>
      </c>
      <c r="U66" s="4" t="str">
        <f t="shared" si="24"/>
        <v xml:space="preserve"> </v>
      </c>
      <c r="V66" s="6" t="str">
        <f t="shared" si="25"/>
        <v xml:space="preserve"> </v>
      </c>
      <c r="W66" s="22" t="str">
        <f t="shared" si="26"/>
        <v/>
      </c>
      <c r="X66" s="22" t="str">
        <f t="shared" si="27"/>
        <v/>
      </c>
      <c r="Y66" s="22"/>
    </row>
    <row r="67" spans="5:25" x14ac:dyDescent="0.25">
      <c r="E67" s="25" t="str">
        <f t="shared" si="13"/>
        <v xml:space="preserve"> </v>
      </c>
      <c r="F67" s="26" t="str">
        <f t="shared" si="14"/>
        <v xml:space="preserve"> </v>
      </c>
      <c r="G67" s="27" t="str">
        <f t="shared" si="15"/>
        <v xml:space="preserve"> </v>
      </c>
      <c r="H67" s="28" t="str">
        <f t="shared" si="0"/>
        <v xml:space="preserve"> </v>
      </c>
      <c r="I67" s="3" t="str">
        <f t="shared" si="16"/>
        <v xml:space="preserve"> </v>
      </c>
      <c r="J67" s="3" t="str">
        <f t="shared" si="1"/>
        <v xml:space="preserve"> </v>
      </c>
      <c r="K67" s="3" t="str">
        <f t="shared" si="17"/>
        <v/>
      </c>
      <c r="L67" s="30" t="str">
        <f t="shared" si="29"/>
        <v/>
      </c>
      <c r="M67" s="29" t="str">
        <f t="shared" si="18"/>
        <v/>
      </c>
      <c r="N67" s="29" t="str">
        <f t="shared" si="22"/>
        <v/>
      </c>
      <c r="O67" s="29" t="str">
        <f t="shared" si="3"/>
        <v/>
      </c>
      <c r="P67" s="29" t="str">
        <f t="shared" si="4"/>
        <v/>
      </c>
      <c r="Q67" s="23" t="str">
        <f t="shared" si="23"/>
        <v/>
      </c>
      <c r="R67" s="5" t="str">
        <f t="shared" si="28"/>
        <v/>
      </c>
      <c r="S67" s="5" t="str">
        <f t="shared" si="20"/>
        <v/>
      </c>
      <c r="T67" s="5" t="str">
        <f t="shared" si="21"/>
        <v/>
      </c>
      <c r="U67" s="4" t="str">
        <f t="shared" si="24"/>
        <v xml:space="preserve"> </v>
      </c>
      <c r="V67" s="6" t="str">
        <f t="shared" si="25"/>
        <v xml:space="preserve"> </v>
      </c>
      <c r="W67" s="22" t="str">
        <f t="shared" si="26"/>
        <v/>
      </c>
      <c r="X67" s="22" t="str">
        <f t="shared" si="27"/>
        <v/>
      </c>
      <c r="Y67" s="22"/>
    </row>
    <row r="68" spans="5:25" x14ac:dyDescent="0.25">
      <c r="E68" s="25" t="str">
        <f t="shared" si="13"/>
        <v xml:space="preserve"> </v>
      </c>
      <c r="F68" s="26" t="str">
        <f t="shared" si="14"/>
        <v xml:space="preserve"> </v>
      </c>
      <c r="G68" s="27" t="str">
        <f t="shared" si="15"/>
        <v xml:space="preserve"> </v>
      </c>
      <c r="H68" s="28" t="str">
        <f t="shared" ref="H68:H69" si="30">IFERROR(IF(E68=" "," ",IF($E68&lt;=$C$16,$G68*$C$14/IF(DAY(DATE(MID(F68,7,4),3,0))=29,366,365),$G68*$C$15/IF(DAY(DATE(MID(F68,7,4),3,0))=29,366,365))),"")</f>
        <v xml:space="preserve"> </v>
      </c>
      <c r="I68" s="3" t="str">
        <f t="shared" si="16"/>
        <v xml:space="preserve"> </v>
      </c>
      <c r="J68" s="3" t="str">
        <f t="shared" ref="J68:J69" si="31">IFERROR(IF($C$18=" "," ",1/(1+I68))," ")</f>
        <v xml:space="preserve"> </v>
      </c>
      <c r="K68" s="3" t="str">
        <f t="shared" si="17"/>
        <v/>
      </c>
      <c r="L68" s="30" t="str">
        <f t="shared" si="29"/>
        <v/>
      </c>
      <c r="M68" s="29" t="str">
        <f t="shared" si="18"/>
        <v/>
      </c>
      <c r="N68" s="29" t="str">
        <f t="shared" si="22"/>
        <v/>
      </c>
      <c r="O68" s="29" t="str">
        <f t="shared" ref="O68:O69" si="32">IFERROR(IF($C$17=E68,M68,TRUNC($C$19-N68,2)),"")</f>
        <v/>
      </c>
      <c r="P68" s="29" t="str">
        <f t="shared" ref="P68:P69" si="33">IF(TRUNC(SUM(N68:O68),2)&lt;=0,"",TRUNC(SUM(N68:O68),2))</f>
        <v/>
      </c>
      <c r="Q68" s="23" t="str">
        <f t="shared" si="23"/>
        <v/>
      </c>
      <c r="R68" s="5" t="str">
        <f t="shared" si="28"/>
        <v/>
      </c>
      <c r="S68" s="5" t="str">
        <f t="shared" si="20"/>
        <v/>
      </c>
      <c r="T68" s="5" t="str">
        <f t="shared" si="21"/>
        <v/>
      </c>
      <c r="U68" s="4" t="str">
        <f t="shared" si="24"/>
        <v xml:space="preserve"> </v>
      </c>
      <c r="V68" s="6" t="str">
        <f t="shared" si="25"/>
        <v xml:space="preserve"> </v>
      </c>
      <c r="W68" s="22" t="str">
        <f t="shared" si="26"/>
        <v/>
      </c>
      <c r="X68" s="22" t="str">
        <f t="shared" si="27"/>
        <v/>
      </c>
      <c r="Y68" s="22"/>
    </row>
    <row r="69" spans="5:25" x14ac:dyDescent="0.25">
      <c r="E69" s="25" t="str">
        <f t="shared" ref="E69" si="34">IFERROR(IF($E68&lt;$C$17,E68+1," "),"")</f>
        <v xml:space="preserve"> </v>
      </c>
      <c r="F69" s="26" t="str">
        <f t="shared" ref="F69" si="35">IFERROR(TEXT(IF($E69&lt;=$C$17,EDATE($F$4,E69 - 1)," "),"DD/MM/YYYY"),"")</f>
        <v xml:space="preserve"> </v>
      </c>
      <c r="G69" s="27" t="str">
        <f t="shared" ref="G69" si="36">IFERROR(IF(E69=" "," ",F69-F68),"")</f>
        <v xml:space="preserve"> </v>
      </c>
      <c r="H69" s="28" t="str">
        <f t="shared" si="30"/>
        <v xml:space="preserve"> </v>
      </c>
      <c r="I69" s="3" t="str">
        <f t="shared" ref="I69" si="37">IFERROR(IF(E69=" "," ",ROUND(I68+H69+(I68*H69),6)),"")</f>
        <v xml:space="preserve"> </v>
      </c>
      <c r="J69" s="3" t="str">
        <f t="shared" si="31"/>
        <v xml:space="preserve"> </v>
      </c>
      <c r="K69" s="3" t="str">
        <f t="shared" ref="K69" si="38">IFERROR(IF($C$18=" "," ",K68+J69),"")</f>
        <v/>
      </c>
      <c r="L69" s="30" t="str">
        <f t="shared" si="29"/>
        <v/>
      </c>
      <c r="M69" s="29" t="str">
        <f t="shared" ref="M69" si="39">IFERROR(IF(IF($M68&gt;0,($M68-$O68)," ")&lt;=0,"",IF($M68&gt;0,($M68-$O68)," ")),"")</f>
        <v/>
      </c>
      <c r="N69" s="29" t="str">
        <f t="shared" si="22"/>
        <v/>
      </c>
      <c r="O69" s="29" t="str">
        <f t="shared" si="32"/>
        <v/>
      </c>
      <c r="P69" s="29" t="str">
        <f t="shared" si="33"/>
        <v/>
      </c>
      <c r="Q69" s="23" t="str">
        <f t="shared" si="23"/>
        <v/>
      </c>
      <c r="R69" s="5" t="str">
        <f t="shared" ref="R69:R100" si="40">TEXT(IF(AND(Q68="N",Q69="Y"),EDATE($F$4,E69-2),IF(AND(Q68="Y",Q69="N"),EDATE($F$4,E69-2),"")),"DD/MM/YYYY")</f>
        <v/>
      </c>
      <c r="S69" s="5" t="str">
        <f t="shared" ref="S69" si="41">TEXT(IFERROR(DATE(YEAR(R69),12,31),""),"DD/MM/YYYY")</f>
        <v/>
      </c>
      <c r="T69" s="5" t="str">
        <f t="shared" ref="T69" si="42">TEXT(IFERROR(EDATE($R69,1),""),"DD/MM/YYYY")</f>
        <v/>
      </c>
      <c r="U69" s="4" t="str">
        <f t="shared" si="24"/>
        <v xml:space="preserve"> </v>
      </c>
      <c r="V69" s="6" t="str">
        <f t="shared" si="25"/>
        <v xml:space="preserve"> </v>
      </c>
      <c r="W69" s="22" t="str">
        <f t="shared" si="26"/>
        <v/>
      </c>
      <c r="X69" s="22" t="str">
        <f t="shared" si="27"/>
        <v/>
      </c>
      <c r="Y69" s="22"/>
    </row>
  </sheetData>
  <sheetProtection algorithmName="SHA-512" hashValue="L8utildaPxHc6w/gxYik2+Dz9jb91B4ujqE34lzEyFTJXMn197+0o0yEWW5xLRRtrIiebXcoNJAuUtOyG0jVJw==" saltValue="Ps0WlMUiotbBBO68HfSVnA==" spinCount="100000" sheet="1" objects="1" scenarios="1"/>
  <mergeCells count="5">
    <mergeCell ref="E2:P2"/>
    <mergeCell ref="Z3:AH3"/>
    <mergeCell ref="AJ3:AL3"/>
    <mergeCell ref="B5:C5"/>
    <mergeCell ref="B9:C9"/>
  </mergeCells>
  <conditionalFormatting sqref="Q4">
    <cfRule type="cellIs" dxfId="9" priority="5" operator="equal">
      <formula>"Y"</formula>
    </cfRule>
  </conditionalFormatting>
  <conditionalFormatting sqref="Q5:Q69 M5:P5 M10:M69 O10:P69 M6:M8 O6:P8 M4:Q4 N6:N69">
    <cfRule type="cellIs" dxfId="8" priority="4" operator="equal">
      <formula>"Y"</formula>
    </cfRule>
  </conditionalFormatting>
  <conditionalFormatting sqref="M9 O9:P9">
    <cfRule type="cellIs" dxfId="7" priority="3" operator="equal">
      <formula>"Y"</formula>
    </cfRule>
  </conditionalFormatting>
  <conditionalFormatting sqref="AJ4:AL63">
    <cfRule type="cellIs" dxfId="6" priority="1" operator="greaterThan">
      <formula>0</formula>
    </cfRule>
    <cfRule type="cellIs" dxfId="5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L69"/>
  <sheetViews>
    <sheetView showFormulas="1" showGridLines="0" tabSelected="1" topLeftCell="C1" zoomScale="85" zoomScaleNormal="85" workbookViewId="0">
      <selection activeCell="G11" sqref="G11"/>
    </sheetView>
  </sheetViews>
  <sheetFormatPr baseColWidth="10" defaultRowHeight="15" x14ac:dyDescent="0.25"/>
  <cols>
    <col min="1" max="1" width="3.85546875" style="1" customWidth="1"/>
    <col min="2" max="2" width="28.42578125" style="1" bestFit="1" customWidth="1"/>
    <col min="3" max="3" width="13.28515625" style="1" bestFit="1" customWidth="1"/>
    <col min="4" max="4" width="3.7109375" style="1" customWidth="1"/>
    <col min="5" max="5" width="28.42578125" style="1" customWidth="1"/>
    <col min="6" max="6" width="40" style="2" customWidth="1"/>
    <col min="7" max="7" width="7.7109375" style="2" bestFit="1" customWidth="1"/>
    <col min="8" max="8" width="8.7109375" style="1" hidden="1" customWidth="1"/>
    <col min="9" max="9" width="10.42578125" style="1" hidden="1" customWidth="1"/>
    <col min="10" max="10" width="9.28515625" style="1" hidden="1" customWidth="1"/>
    <col min="11" max="11" width="10.28515625" style="1" hidden="1" customWidth="1"/>
    <col min="12" max="12" width="10.7109375" style="1" hidden="1" customWidth="1"/>
    <col min="13" max="13" width="11.85546875" style="1" bestFit="1" customWidth="1"/>
    <col min="14" max="15" width="12.140625" style="1" bestFit="1" customWidth="1"/>
    <col min="16" max="16" width="11" style="1" customWidth="1"/>
    <col min="17" max="17" width="8" style="22" hidden="1" customWidth="1"/>
    <col min="18" max="18" width="11.7109375" style="1" hidden="1" customWidth="1"/>
    <col min="19" max="19" width="16.140625" style="1" hidden="1" customWidth="1"/>
    <col min="20" max="20" width="11.28515625" style="1" hidden="1" customWidth="1"/>
    <col min="21" max="21" width="8.7109375" style="1" hidden="1" customWidth="1"/>
    <col min="22" max="22" width="12.28515625" style="1" hidden="1" customWidth="1"/>
    <col min="23" max="24" width="6.140625" style="1" hidden="1" customWidth="1"/>
    <col min="25" max="25" width="2.5703125" style="1" customWidth="1"/>
    <col min="26" max="26" width="3.140625" style="1" bestFit="1" customWidth="1"/>
    <col min="27" max="27" width="2.140625" style="1" bestFit="1" customWidth="1"/>
    <col min="28" max="28" width="11" style="1" bestFit="1" customWidth="1"/>
    <col min="29" max="30" width="10.85546875" style="1" bestFit="1" customWidth="1"/>
    <col min="31" max="33" width="9" style="36" bestFit="1" customWidth="1"/>
    <col min="34" max="34" width="8" style="36" bestFit="1" customWidth="1"/>
    <col min="35" max="35" width="2.7109375" style="1" customWidth="1"/>
    <col min="36" max="36" width="11.85546875" style="1" bestFit="1" customWidth="1"/>
    <col min="37" max="16384" width="11.42578125" style="1"/>
  </cols>
  <sheetData>
    <row r="1" spans="2:38" x14ac:dyDescent="0.25">
      <c r="F1" s="1"/>
      <c r="G1" s="1"/>
      <c r="Q1" s="1"/>
    </row>
    <row r="2" spans="2:38" ht="15.75" thickBot="1" x14ac:dyDescent="0.3">
      <c r="E2" s="39" t="s">
        <v>31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24"/>
      <c r="R2" s="24"/>
      <c r="S2" s="24"/>
      <c r="T2" s="24"/>
      <c r="U2" s="24"/>
      <c r="V2" s="24"/>
      <c r="W2" s="24"/>
      <c r="X2" s="24"/>
      <c r="Y2" s="35"/>
    </row>
    <row r="3" spans="2:38" ht="30.75" thickBot="1" x14ac:dyDescent="0.3">
      <c r="E3" s="19" t="s">
        <v>1</v>
      </c>
      <c r="F3" s="20" t="s">
        <v>18</v>
      </c>
      <c r="G3" s="20" t="s">
        <v>17</v>
      </c>
      <c r="H3" s="20" t="s">
        <v>2</v>
      </c>
      <c r="I3" s="20" t="s">
        <v>3</v>
      </c>
      <c r="J3" s="20" t="s">
        <v>4</v>
      </c>
      <c r="K3" s="20" t="s">
        <v>5</v>
      </c>
      <c r="L3" s="20" t="s">
        <v>6</v>
      </c>
      <c r="M3" s="20" t="s">
        <v>19</v>
      </c>
      <c r="N3" s="20" t="s">
        <v>20</v>
      </c>
      <c r="O3" s="20" t="s">
        <v>21</v>
      </c>
      <c r="P3" s="21" t="s">
        <v>22</v>
      </c>
      <c r="Q3" s="19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1" t="s">
        <v>30</v>
      </c>
      <c r="Y3" s="22"/>
      <c r="Z3" s="40" t="s">
        <v>40</v>
      </c>
      <c r="AA3" s="41"/>
      <c r="AB3" s="41"/>
      <c r="AC3" s="41"/>
      <c r="AD3" s="41"/>
      <c r="AE3" s="41"/>
      <c r="AF3" s="41"/>
      <c r="AG3" s="41"/>
      <c r="AH3" s="42"/>
      <c r="AJ3" s="40" t="s">
        <v>39</v>
      </c>
      <c r="AK3" s="41"/>
      <c r="AL3" s="42"/>
    </row>
    <row r="4" spans="2:38" x14ac:dyDescent="0.25">
      <c r="E4" s="25">
        <f>IFERROR(IF($C$18&gt;0,1," "),"")</f>
        <v>1</v>
      </c>
      <c r="F4" s="26" t="str">
        <f>IFERROR(IF(C18&gt;0,TEXT(IF($E$4&gt;0,C18," "),"DD/MM/YYYY")," "),"")</f>
        <v>08/12/2019</v>
      </c>
      <c r="G4" s="27">
        <f>IFERROR(IF(E4=" "," ",F4-$C$11),"")</f>
        <v>-91</v>
      </c>
      <c r="H4" s="28">
        <f t="shared" ref="H4:H67" si="0">IFERROR(IF(E4=" "," ",IF($E4&lt;=$C$16,$G4*$C$14/IF(DAY(DATE(MID(F4,7,4),3,0))=29,366,365),$G4*$C$15/IF(DAY(DATE(MID(F4,7,4),3,0))=29,366,365))),"")</f>
        <v>-3.9868471232876714E-2</v>
      </c>
      <c r="I4" s="3">
        <f>IFERROR(IF(E4=" "," ",J1+H4+(J1*H4)),"")</f>
        <v>-3.9868471232876714E-2</v>
      </c>
      <c r="J4" s="3">
        <f t="shared" ref="J4:J67" si="1">IFERROR(IF($C$18=" "," ",1/(1+I4))," ")</f>
        <v>1.0415239683713653</v>
      </c>
      <c r="K4" s="3">
        <f>IFERROR(IF($C$18=" "," ",L1+J4),"")</f>
        <v>1.0415239683713653</v>
      </c>
      <c r="L4" s="30">
        <f t="shared" ref="L4:L63" si="2">IFERROR(TRUNC(IF($C$18=" "," ",$C$13/K4),2),"")</f>
        <v>480.06</v>
      </c>
      <c r="M4" s="29">
        <f>IFERROR(IF(C13&gt;0,C13," "),"")</f>
        <v>500</v>
      </c>
      <c r="N4" s="29">
        <f>IFERROR(IF(AND(Q2="N",Q4="Y"),SUM(W4:X4),IF(AND(Q2="Y",Q4="N"),SUM(W4:X4),TRUNC((M4+(0*(-1)))*(H4)+(0*(-1)),2))),"")</f>
        <v>-19.93</v>
      </c>
      <c r="O4" s="29">
        <f t="shared" ref="O4:O67" si="3">IFERROR(IF($C$17=E4,M4,TRUNC($C$19-N4,2)),"")</f>
        <v>44.44</v>
      </c>
      <c r="P4" s="29">
        <f t="shared" ref="P4:P67" si="4">IF(TRUNC(SUM(N4:O4),2)&lt;=0,"",TRUNC(SUM(N4:O4),2))</f>
        <v>24.51</v>
      </c>
      <c r="Q4" s="23" t="str">
        <f t="shared" ref="Q4:Q35" si="5">IFERROR(IF(IF(DAY(DATE(MID(F4,7,4),3,0))=29,366,365)=366,"Y","N"),"")</f>
        <v>N</v>
      </c>
      <c r="R4" s="5" t="str">
        <f>TEXT(IF(AND(Q2="N",Q4="Y"),EDATE($F$4,E4-2),IF(AND(Q2="Y",Q4="N"),EDATE($F$4,E4-2),"")),"DD/MM/YYYY")</f>
        <v/>
      </c>
      <c r="S4" s="5" t="str">
        <f>TEXT(IFERROR(DATE(YEAR(R4),12,31),""),"DD/MM/YYYY")</f>
        <v/>
      </c>
      <c r="T4" s="5" t="str">
        <f>TEXT(IFERROR(EDATE($R4,1),""),"DD/MM/YYYY")</f>
        <v/>
      </c>
      <c r="U4" s="4" t="str">
        <f t="shared" ref="U4:U35" si="6">IFERROR(IF(E4=" "," ",IF($E4&lt;=$C$16,SUM(S4-R4)*$C$14/IF(DAY(DATE(MID(S4,7,4),3,0))=29,366,365),SUM(S4-R4)*$C$15/IF(DAY(DATE(MID(S4,7,4),3,0))=29,366,365))),"")</f>
        <v/>
      </c>
      <c r="V4" s="6" t="str">
        <f t="shared" ref="V4:V35" si="7">IFERROR(IF(E4=" "," ",IF($E4&lt;=$C$16,SUM(T4-S4)*$C$14/IF(DAY(DATE(MID(T4,7,4),3,0))=29,366,365),SUM(T4-S4)*$C$15/IF(DAY(DATE(MID(T4,7,4),3,0))=29,366,365))),"")</f>
        <v/>
      </c>
      <c r="W4" s="22" t="str">
        <f t="shared" ref="W4:W35" si="8">IFERROR(TRUNC(U4*M4,2),"")</f>
        <v/>
      </c>
      <c r="X4" s="22" t="str">
        <f t="shared" ref="X4:X35" si="9">IFERROR(TRUNC(V4*M4,2),"")</f>
        <v/>
      </c>
      <c r="Y4" s="22"/>
      <c r="Z4" s="1">
        <v>1</v>
      </c>
      <c r="AA4" s="1">
        <v>1</v>
      </c>
      <c r="AB4" s="1" t="s">
        <v>38</v>
      </c>
      <c r="AC4" s="2">
        <v>43807</v>
      </c>
      <c r="AD4" s="2">
        <v>43780</v>
      </c>
      <c r="AE4" s="36">
        <v>24.44</v>
      </c>
      <c r="AF4" s="36">
        <v>18.53</v>
      </c>
      <c r="AG4" s="36">
        <v>5.91</v>
      </c>
      <c r="AJ4" s="34">
        <f t="shared" ref="AJ4:AJ27" si="10">AE4-P4</f>
        <v>-7.0000000000000284E-2</v>
      </c>
      <c r="AK4" s="34">
        <f t="shared" ref="AK4:AK27" si="11">AF4-O4</f>
        <v>-25.909999999999997</v>
      </c>
      <c r="AL4" s="34">
        <f t="shared" ref="AL4:AL27" si="12">N4-AG4</f>
        <v>-25.84</v>
      </c>
    </row>
    <row r="5" spans="2:38" x14ac:dyDescent="0.25">
      <c r="B5" s="37" t="s">
        <v>0</v>
      </c>
      <c r="C5" s="38"/>
      <c r="E5" s="25">
        <f t="shared" ref="E5:E68" si="13">IFERROR(IF($E4&lt;$C$17,E4+1," "),"")</f>
        <v>2</v>
      </c>
      <c r="F5" s="26" t="str">
        <f t="shared" ref="F5:F68" si="14">IFERROR(TEXT(IF($E5&lt;=$C$17,EDATE($F$4,E5 - 1)," "),"DD/MM/YYYY"),"")</f>
        <v>12/09/2019</v>
      </c>
      <c r="G5" s="27">
        <f t="shared" ref="G5:G68" si="15">IFERROR(IF(E5=" "," ",F5-F4),"")</f>
        <v>119</v>
      </c>
      <c r="H5" s="28">
        <f t="shared" si="0"/>
        <v>5.2135693150684927E-2</v>
      </c>
      <c r="I5" s="3">
        <f t="shared" ref="I5:I68" si="16">IFERROR(IF(E5=" "," ",ROUND(I4+H5+(I4*H5),6)),"")</f>
        <v>1.0189E-2</v>
      </c>
      <c r="J5" s="3">
        <f t="shared" si="1"/>
        <v>0.98991376861161628</v>
      </c>
      <c r="K5" s="3">
        <f t="shared" ref="K5:K68" si="17">IFERROR(IF($C$18=" "," ",K4+J5),"")</f>
        <v>2.0314377369829817</v>
      </c>
      <c r="L5" s="30">
        <f t="shared" si="2"/>
        <v>246.13</v>
      </c>
      <c r="M5" s="29">
        <f t="shared" ref="M5:M68" si="18">IFERROR(IF(IF($M4&gt;0,($M4-$O4)," ")&lt;=0,"",IF($M4&gt;0,($M4-$O4)," ")),"")</f>
        <v>455.56</v>
      </c>
      <c r="N5" s="29">
        <f>IFERROR(IF(AND(Q4="N",Q5="Y"),SUM(W5:X5),IF(AND(Q4="Y",Q5="N"),SUM(W5:X5),TRUNC((M5+(0*(-1)))*(H5)+(0*(-1)),2))),"")</f>
        <v>23.75</v>
      </c>
      <c r="O5" s="29">
        <f t="shared" si="3"/>
        <v>0.76</v>
      </c>
      <c r="P5" s="29">
        <f t="shared" si="4"/>
        <v>24.51</v>
      </c>
      <c r="Q5" s="23" t="str">
        <f t="shared" si="5"/>
        <v>N</v>
      </c>
      <c r="R5" s="5" t="str">
        <f t="shared" ref="R5:R36" si="19">TEXT(IF(AND(Q4="N",Q5="Y"),EDATE($F$4,E5-2),IF(AND(Q4="Y",Q5="N"),EDATE($F$4,E5-2),"")),"DD/MM/YYYY")</f>
        <v/>
      </c>
      <c r="S5" s="5" t="str">
        <f t="shared" ref="S5:S68" si="20">TEXT(IFERROR(DATE(YEAR(R5),12,31),""),"DD/MM/YYYY")</f>
        <v/>
      </c>
      <c r="T5" s="5" t="str">
        <f t="shared" ref="T5:T68" si="21">TEXT(IFERROR(EDATE($R5,1),""),"DD/MM/YYYY")</f>
        <v/>
      </c>
      <c r="U5" s="4" t="str">
        <f t="shared" si="6"/>
        <v/>
      </c>
      <c r="V5" s="6" t="str">
        <f t="shared" si="7"/>
        <v/>
      </c>
      <c r="W5" s="22" t="str">
        <f t="shared" si="8"/>
        <v/>
      </c>
      <c r="X5" s="22" t="str">
        <f t="shared" si="9"/>
        <v/>
      </c>
      <c r="Y5" s="22"/>
      <c r="Z5" s="1">
        <v>2</v>
      </c>
      <c r="AA5" s="1">
        <v>1</v>
      </c>
      <c r="AB5" s="1" t="s">
        <v>38</v>
      </c>
      <c r="AC5" s="2">
        <v>43838</v>
      </c>
      <c r="AD5" s="2">
        <v>43780</v>
      </c>
      <c r="AE5" s="36">
        <v>24.44</v>
      </c>
      <c r="AF5" s="36">
        <v>17.91</v>
      </c>
      <c r="AG5" s="36">
        <v>6.53</v>
      </c>
      <c r="AJ5" s="34">
        <f t="shared" si="10"/>
        <v>-7.0000000000000284E-2</v>
      </c>
      <c r="AK5" s="34">
        <f t="shared" si="11"/>
        <v>17.149999999999999</v>
      </c>
      <c r="AL5" s="34">
        <f t="shared" si="12"/>
        <v>17.22</v>
      </c>
    </row>
    <row r="6" spans="2:38" x14ac:dyDescent="0.25">
      <c r="E6" s="25">
        <f t="shared" si="13"/>
        <v>3</v>
      </c>
      <c r="F6" s="26" t="str">
        <f t="shared" si="14"/>
        <v>12/10/2019</v>
      </c>
      <c r="G6" s="27">
        <f t="shared" si="15"/>
        <v>1</v>
      </c>
      <c r="H6" s="28">
        <f t="shared" si="0"/>
        <v>4.381150684931507E-4</v>
      </c>
      <c r="I6" s="3">
        <f t="shared" si="16"/>
        <v>1.0632000000000001E-2</v>
      </c>
      <c r="J6" s="3">
        <f t="shared" si="1"/>
        <v>0.98947985023232987</v>
      </c>
      <c r="K6" s="3">
        <f t="shared" si="17"/>
        <v>3.0209175872153118</v>
      </c>
      <c r="L6" s="30">
        <f t="shared" si="2"/>
        <v>165.51</v>
      </c>
      <c r="M6" s="29">
        <f t="shared" si="18"/>
        <v>454.8</v>
      </c>
      <c r="N6" s="29">
        <f t="shared" ref="N6:N69" si="22">IFERROR(IF(AND(Q5="N",Q6="Y"),SUM(W6:X6),IF(AND(Q5="Y",Q6="N"),SUM(W6:X6),TRUNC((M6+(0*(-1)))*(H6)+(0*(-1)),2))),"")</f>
        <v>0.19</v>
      </c>
      <c r="O6" s="29">
        <f t="shared" si="3"/>
        <v>24.32</v>
      </c>
      <c r="P6" s="29">
        <f t="shared" si="4"/>
        <v>24.51</v>
      </c>
      <c r="Q6" s="23" t="str">
        <f t="shared" si="5"/>
        <v>N</v>
      </c>
      <c r="R6" s="5" t="str">
        <f t="shared" si="19"/>
        <v/>
      </c>
      <c r="S6" s="5" t="str">
        <f t="shared" si="20"/>
        <v/>
      </c>
      <c r="T6" s="5" t="str">
        <f t="shared" si="21"/>
        <v/>
      </c>
      <c r="U6" s="4" t="str">
        <f t="shared" si="6"/>
        <v/>
      </c>
      <c r="V6" s="6" t="str">
        <f t="shared" si="7"/>
        <v/>
      </c>
      <c r="W6" s="22" t="str">
        <f t="shared" si="8"/>
        <v/>
      </c>
      <c r="X6" s="22" t="str">
        <f t="shared" si="9"/>
        <v/>
      </c>
      <c r="Y6" s="22"/>
      <c r="Z6" s="1">
        <v>3</v>
      </c>
      <c r="AA6" s="1">
        <v>1</v>
      </c>
      <c r="AB6" s="1" t="s">
        <v>38</v>
      </c>
      <c r="AC6" s="2">
        <v>43869</v>
      </c>
      <c r="AD6" s="2">
        <v>43780</v>
      </c>
      <c r="AE6" s="36">
        <v>24.44</v>
      </c>
      <c r="AF6" s="36">
        <v>18.170000000000002</v>
      </c>
      <c r="AG6" s="36">
        <v>6.27</v>
      </c>
      <c r="AJ6" s="34">
        <f t="shared" si="10"/>
        <v>-7.0000000000000284E-2</v>
      </c>
      <c r="AK6" s="34">
        <f t="shared" si="11"/>
        <v>-6.1499999999999986</v>
      </c>
      <c r="AL6" s="34">
        <f t="shared" si="12"/>
        <v>-6.0799999999999992</v>
      </c>
    </row>
    <row r="7" spans="2:38" x14ac:dyDescent="0.25">
      <c r="B7" s="18" t="s">
        <v>16</v>
      </c>
      <c r="C7" s="17" t="s">
        <v>51</v>
      </c>
      <c r="E7" s="25">
        <f t="shared" si="13"/>
        <v>4</v>
      </c>
      <c r="F7" s="26" t="str">
        <f t="shared" si="14"/>
        <v>12/11/2019</v>
      </c>
      <c r="G7" s="27">
        <f t="shared" si="15"/>
        <v>1</v>
      </c>
      <c r="H7" s="28">
        <f t="shared" si="0"/>
        <v>4.381150684931507E-4</v>
      </c>
      <c r="I7" s="3">
        <f t="shared" si="16"/>
        <v>1.1075E-2</v>
      </c>
      <c r="J7" s="3">
        <f t="shared" si="1"/>
        <v>0.98904631209356386</v>
      </c>
      <c r="K7" s="3">
        <f t="shared" si="17"/>
        <v>4.0099638993088753</v>
      </c>
      <c r="L7" s="30">
        <f t="shared" si="2"/>
        <v>124.68</v>
      </c>
      <c r="M7" s="29">
        <f t="shared" si="18"/>
        <v>430.48</v>
      </c>
      <c r="N7" s="29">
        <f t="shared" si="22"/>
        <v>0.18</v>
      </c>
      <c r="O7" s="29">
        <f t="shared" si="3"/>
        <v>24.33</v>
      </c>
      <c r="P7" s="29">
        <f t="shared" si="4"/>
        <v>24.51</v>
      </c>
      <c r="Q7" s="23" t="str">
        <f t="shared" si="5"/>
        <v>N</v>
      </c>
      <c r="R7" s="5" t="str">
        <f t="shared" si="19"/>
        <v/>
      </c>
      <c r="S7" s="5" t="str">
        <f t="shared" si="20"/>
        <v/>
      </c>
      <c r="T7" s="5" t="str">
        <f t="shared" si="21"/>
        <v/>
      </c>
      <c r="U7" s="4" t="str">
        <f t="shared" si="6"/>
        <v/>
      </c>
      <c r="V7" s="6" t="str">
        <f t="shared" si="7"/>
        <v/>
      </c>
      <c r="W7" s="22" t="str">
        <f t="shared" si="8"/>
        <v/>
      </c>
      <c r="X7" s="22" t="str">
        <f t="shared" si="9"/>
        <v/>
      </c>
      <c r="Y7" s="22"/>
      <c r="Z7" s="1">
        <v>4</v>
      </c>
      <c r="AA7" s="1">
        <v>1</v>
      </c>
      <c r="AB7" s="1" t="s">
        <v>38</v>
      </c>
      <c r="AC7" s="2">
        <v>43898</v>
      </c>
      <c r="AD7" s="2">
        <v>43780</v>
      </c>
      <c r="AE7" s="36">
        <v>24.44</v>
      </c>
      <c r="AF7" s="36">
        <v>18.8</v>
      </c>
      <c r="AG7" s="36">
        <v>5.64</v>
      </c>
      <c r="AJ7" s="34">
        <f t="shared" si="10"/>
        <v>-7.0000000000000284E-2</v>
      </c>
      <c r="AK7" s="34">
        <f t="shared" si="11"/>
        <v>-5.5299999999999976</v>
      </c>
      <c r="AL7" s="34">
        <f t="shared" si="12"/>
        <v>-5.46</v>
      </c>
    </row>
    <row r="8" spans="2:38" x14ac:dyDescent="0.25">
      <c r="E8" s="25">
        <f t="shared" si="13"/>
        <v>5</v>
      </c>
      <c r="F8" s="26" t="str">
        <f t="shared" si="14"/>
        <v>12/12/2019</v>
      </c>
      <c r="G8" s="27">
        <f t="shared" si="15"/>
        <v>1</v>
      </c>
      <c r="H8" s="28">
        <f t="shared" si="0"/>
        <v>4.381150684931507E-4</v>
      </c>
      <c r="I8" s="3">
        <f t="shared" si="16"/>
        <v>1.1518E-2</v>
      </c>
      <c r="J8" s="3">
        <f t="shared" si="1"/>
        <v>0.98861315369573266</v>
      </c>
      <c r="K8" s="3">
        <f t="shared" si="17"/>
        <v>4.9985770530046079</v>
      </c>
      <c r="L8" s="30">
        <f t="shared" si="2"/>
        <v>100.02</v>
      </c>
      <c r="M8" s="29">
        <f t="shared" si="18"/>
        <v>406.15000000000003</v>
      </c>
      <c r="N8" s="29">
        <f t="shared" si="22"/>
        <v>0.17</v>
      </c>
      <c r="O8" s="29">
        <f t="shared" si="3"/>
        <v>24.34</v>
      </c>
      <c r="P8" s="29">
        <f t="shared" si="4"/>
        <v>24.51</v>
      </c>
      <c r="Q8" s="23" t="str">
        <f t="shared" si="5"/>
        <v>N</v>
      </c>
      <c r="R8" s="5" t="str">
        <f t="shared" si="19"/>
        <v/>
      </c>
      <c r="S8" s="5" t="str">
        <f t="shared" si="20"/>
        <v/>
      </c>
      <c r="T8" s="5" t="str">
        <f t="shared" si="21"/>
        <v/>
      </c>
      <c r="U8" s="4" t="str">
        <f t="shared" si="6"/>
        <v/>
      </c>
      <c r="V8" s="6" t="str">
        <f t="shared" si="7"/>
        <v/>
      </c>
      <c r="W8" s="22" t="str">
        <f t="shared" si="8"/>
        <v/>
      </c>
      <c r="X8" s="22" t="str">
        <f t="shared" si="9"/>
        <v/>
      </c>
      <c r="Y8" s="22"/>
      <c r="Z8" s="1">
        <v>5</v>
      </c>
      <c r="AA8" s="1">
        <v>1</v>
      </c>
      <c r="AB8" s="1" t="s">
        <v>38</v>
      </c>
      <c r="AC8" s="2">
        <v>43929</v>
      </c>
      <c r="AD8" s="2">
        <v>43780</v>
      </c>
      <c r="AE8" s="36">
        <v>24.44</v>
      </c>
      <c r="AF8" s="36">
        <v>18.670000000000002</v>
      </c>
      <c r="AG8" s="36">
        <v>5.77</v>
      </c>
      <c r="AJ8" s="34">
        <f t="shared" si="10"/>
        <v>-7.0000000000000284E-2</v>
      </c>
      <c r="AK8" s="34">
        <f t="shared" si="11"/>
        <v>-5.6699999999999982</v>
      </c>
      <c r="AL8" s="34">
        <f t="shared" si="12"/>
        <v>-5.6</v>
      </c>
    </row>
    <row r="9" spans="2:38" x14ac:dyDescent="0.25">
      <c r="B9" s="37" t="s">
        <v>15</v>
      </c>
      <c r="C9" s="38"/>
      <c r="E9" s="25">
        <f t="shared" si="13"/>
        <v>6</v>
      </c>
      <c r="F9" s="26" t="str">
        <f t="shared" si="14"/>
        <v>12/01/2020</v>
      </c>
      <c r="G9" s="27">
        <f t="shared" si="15"/>
        <v>355</v>
      </c>
      <c r="H9" s="28">
        <f t="shared" si="0"/>
        <v>0.15510590163934426</v>
      </c>
      <c r="I9" s="3">
        <f t="shared" si="16"/>
        <v>0.16841</v>
      </c>
      <c r="J9" s="3">
        <f t="shared" si="1"/>
        <v>0.85586395186621134</v>
      </c>
      <c r="K9" s="3">
        <f t="shared" si="17"/>
        <v>5.8544410048708189</v>
      </c>
      <c r="L9" s="30">
        <f t="shared" si="2"/>
        <v>85.4</v>
      </c>
      <c r="M9" s="29">
        <f t="shared" si="18"/>
        <v>381.81000000000006</v>
      </c>
      <c r="N9" s="29">
        <f t="shared" si="22"/>
        <v>0</v>
      </c>
      <c r="O9" s="29">
        <f t="shared" si="3"/>
        <v>24.51</v>
      </c>
      <c r="P9" s="29">
        <f t="shared" si="4"/>
        <v>24.51</v>
      </c>
      <c r="Q9" s="23" t="str">
        <f t="shared" si="5"/>
        <v>Y</v>
      </c>
      <c r="R9" s="5" t="str">
        <f t="shared" si="19"/>
        <v>12/12/2019</v>
      </c>
      <c r="S9" s="5" t="str">
        <f t="shared" si="20"/>
        <v>31/12/2019</v>
      </c>
      <c r="T9" s="5" t="str">
        <f t="shared" si="21"/>
        <v>12/01/2020</v>
      </c>
      <c r="U9" s="4" t="str">
        <f t="shared" si="6"/>
        <v/>
      </c>
      <c r="V9" s="6" t="str">
        <f t="shared" si="7"/>
        <v/>
      </c>
      <c r="W9" s="22" t="str">
        <f t="shared" si="8"/>
        <v/>
      </c>
      <c r="X9" s="22" t="str">
        <f t="shared" si="9"/>
        <v/>
      </c>
      <c r="Y9" s="22"/>
      <c r="Z9" s="1">
        <v>6</v>
      </c>
      <c r="AA9" s="1">
        <v>1</v>
      </c>
      <c r="AB9" s="1" t="s">
        <v>38</v>
      </c>
      <c r="AC9" s="2">
        <v>43959</v>
      </c>
      <c r="AD9" s="2">
        <v>43780</v>
      </c>
      <c r="AE9" s="36">
        <v>24.44</v>
      </c>
      <c r="AF9" s="36">
        <v>19.100000000000001</v>
      </c>
      <c r="AG9" s="36">
        <v>5.34</v>
      </c>
      <c r="AJ9" s="34">
        <f t="shared" si="10"/>
        <v>-7.0000000000000284E-2</v>
      </c>
      <c r="AK9" s="34">
        <f t="shared" si="11"/>
        <v>-5.41</v>
      </c>
      <c r="AL9" s="34">
        <f t="shared" si="12"/>
        <v>-5.34</v>
      </c>
    </row>
    <row r="10" spans="2:38" x14ac:dyDescent="0.25">
      <c r="E10" s="25">
        <f t="shared" si="13"/>
        <v>7</v>
      </c>
      <c r="F10" s="26" t="str">
        <f t="shared" si="14"/>
        <v>12/02/2020</v>
      </c>
      <c r="G10" s="27">
        <f t="shared" si="15"/>
        <v>1</v>
      </c>
      <c r="H10" s="28">
        <f t="shared" si="0"/>
        <v>4.3691803278688525E-4</v>
      </c>
      <c r="I10" s="3">
        <f t="shared" si="16"/>
        <v>0.16891999999999999</v>
      </c>
      <c r="J10" s="3">
        <f t="shared" si="1"/>
        <v>0.85549053827464672</v>
      </c>
      <c r="K10" s="3">
        <f t="shared" si="17"/>
        <v>6.7099315431454656</v>
      </c>
      <c r="L10" s="30">
        <f t="shared" si="2"/>
        <v>74.510000000000005</v>
      </c>
      <c r="M10" s="29">
        <f t="shared" si="18"/>
        <v>357.30000000000007</v>
      </c>
      <c r="N10" s="29">
        <f t="shared" si="22"/>
        <v>0.15</v>
      </c>
      <c r="O10" s="29">
        <f t="shared" si="3"/>
        <v>24.36</v>
      </c>
      <c r="P10" s="29">
        <f t="shared" si="4"/>
        <v>24.51</v>
      </c>
      <c r="Q10" s="23" t="str">
        <f t="shared" si="5"/>
        <v>Y</v>
      </c>
      <c r="R10" s="5" t="str">
        <f t="shared" si="19"/>
        <v/>
      </c>
      <c r="S10" s="5" t="str">
        <f t="shared" si="20"/>
        <v/>
      </c>
      <c r="T10" s="5" t="str">
        <f t="shared" si="21"/>
        <v/>
      </c>
      <c r="U10" s="4" t="str">
        <f t="shared" si="6"/>
        <v/>
      </c>
      <c r="V10" s="6" t="str">
        <f t="shared" si="7"/>
        <v/>
      </c>
      <c r="W10" s="22" t="str">
        <f t="shared" si="8"/>
        <v/>
      </c>
      <c r="X10" s="22" t="str">
        <f t="shared" si="9"/>
        <v/>
      </c>
      <c r="Y10" s="22"/>
      <c r="Z10" s="1">
        <v>7</v>
      </c>
      <c r="AA10" s="1">
        <v>1</v>
      </c>
      <c r="AB10" s="1" t="s">
        <v>38</v>
      </c>
      <c r="AC10" s="2">
        <v>43990</v>
      </c>
      <c r="AD10" s="2">
        <v>43780</v>
      </c>
      <c r="AE10" s="36">
        <v>24.44</v>
      </c>
      <c r="AF10" s="36">
        <v>19.18</v>
      </c>
      <c r="AG10" s="36">
        <v>5.26</v>
      </c>
      <c r="AJ10" s="34">
        <f t="shared" si="10"/>
        <v>-7.0000000000000284E-2</v>
      </c>
      <c r="AK10" s="34">
        <f t="shared" si="11"/>
        <v>-5.18</v>
      </c>
      <c r="AL10" s="34">
        <f t="shared" si="12"/>
        <v>-5.1099999999999994</v>
      </c>
    </row>
    <row r="11" spans="2:38" x14ac:dyDescent="0.25">
      <c r="B11" s="16" t="s">
        <v>14</v>
      </c>
      <c r="C11" s="15">
        <v>43780</v>
      </c>
      <c r="E11" s="25">
        <f t="shared" si="13"/>
        <v>8</v>
      </c>
      <c r="F11" s="26" t="str">
        <f t="shared" si="14"/>
        <v>12/03/2020</v>
      </c>
      <c r="G11" s="27">
        <f t="shared" si="15"/>
        <v>1</v>
      </c>
      <c r="H11" s="28">
        <f t="shared" si="0"/>
        <v>4.3691803278688525E-4</v>
      </c>
      <c r="I11" s="3">
        <f t="shared" si="16"/>
        <v>0.169431</v>
      </c>
      <c r="J11" s="3">
        <f t="shared" si="1"/>
        <v>0.85511671915658138</v>
      </c>
      <c r="K11" s="3">
        <f t="shared" si="17"/>
        <v>7.5650482623020467</v>
      </c>
      <c r="L11" s="30">
        <f t="shared" si="2"/>
        <v>66.09</v>
      </c>
      <c r="M11" s="29">
        <f t="shared" si="18"/>
        <v>332.94000000000005</v>
      </c>
      <c r="N11" s="29">
        <f t="shared" si="22"/>
        <v>0.14000000000000001</v>
      </c>
      <c r="O11" s="29">
        <f t="shared" si="3"/>
        <v>24.37</v>
      </c>
      <c r="P11" s="29">
        <f t="shared" si="4"/>
        <v>24.51</v>
      </c>
      <c r="Q11" s="23" t="str">
        <f t="shared" si="5"/>
        <v>Y</v>
      </c>
      <c r="R11" s="5" t="str">
        <f t="shared" si="19"/>
        <v/>
      </c>
      <c r="S11" s="5" t="str">
        <f t="shared" si="20"/>
        <v/>
      </c>
      <c r="T11" s="5" t="str">
        <f t="shared" si="21"/>
        <v/>
      </c>
      <c r="U11" s="4" t="str">
        <f t="shared" si="6"/>
        <v/>
      </c>
      <c r="V11" s="6" t="str">
        <f t="shared" si="7"/>
        <v/>
      </c>
      <c r="W11" s="22" t="str">
        <f t="shared" si="8"/>
        <v/>
      </c>
      <c r="X11" s="22" t="str">
        <f t="shared" si="9"/>
        <v/>
      </c>
      <c r="Y11" s="22"/>
      <c r="Z11" s="1">
        <v>8</v>
      </c>
      <c r="AA11" s="1">
        <v>1</v>
      </c>
      <c r="AB11" s="1" t="s">
        <v>38</v>
      </c>
      <c r="AC11" s="2">
        <v>44020</v>
      </c>
      <c r="AD11" s="2">
        <v>43780</v>
      </c>
      <c r="AE11" s="36">
        <v>24.44</v>
      </c>
      <c r="AF11" s="36">
        <v>19.600000000000001</v>
      </c>
      <c r="AG11" s="36">
        <v>4.84</v>
      </c>
      <c r="AJ11" s="34">
        <f t="shared" si="10"/>
        <v>-7.0000000000000284E-2</v>
      </c>
      <c r="AK11" s="34">
        <f t="shared" si="11"/>
        <v>-4.7699999999999996</v>
      </c>
      <c r="AL11" s="34">
        <f t="shared" si="12"/>
        <v>-4.7</v>
      </c>
    </row>
    <row r="12" spans="2:38" x14ac:dyDescent="0.25">
      <c r="B12" s="11" t="s">
        <v>33</v>
      </c>
      <c r="C12" s="32" t="s">
        <v>47</v>
      </c>
      <c r="E12" s="25">
        <f t="shared" si="13"/>
        <v>9</v>
      </c>
      <c r="F12" s="26" t="str">
        <f t="shared" si="14"/>
        <v>12/04/2020</v>
      </c>
      <c r="G12" s="27">
        <f t="shared" si="15"/>
        <v>1</v>
      </c>
      <c r="H12" s="28">
        <f t="shared" si="0"/>
        <v>4.3691803278688525E-4</v>
      </c>
      <c r="I12" s="3">
        <f t="shared" si="16"/>
        <v>0.16994200000000001</v>
      </c>
      <c r="J12" s="3">
        <f t="shared" si="1"/>
        <v>0.85474322658730084</v>
      </c>
      <c r="K12" s="3">
        <f t="shared" si="17"/>
        <v>8.4197914888893468</v>
      </c>
      <c r="L12" s="30">
        <f t="shared" si="2"/>
        <v>59.38</v>
      </c>
      <c r="M12" s="29">
        <f t="shared" si="18"/>
        <v>308.57000000000005</v>
      </c>
      <c r="N12" s="29">
        <f t="shared" si="22"/>
        <v>0.13</v>
      </c>
      <c r="O12" s="29">
        <f t="shared" si="3"/>
        <v>24.38</v>
      </c>
      <c r="P12" s="29">
        <f t="shared" si="4"/>
        <v>24.51</v>
      </c>
      <c r="Q12" s="23" t="str">
        <f t="shared" si="5"/>
        <v>Y</v>
      </c>
      <c r="R12" s="5" t="str">
        <f t="shared" si="19"/>
        <v/>
      </c>
      <c r="S12" s="5" t="str">
        <f t="shared" si="20"/>
        <v/>
      </c>
      <c r="T12" s="5" t="str">
        <f t="shared" si="21"/>
        <v/>
      </c>
      <c r="U12" s="4" t="str">
        <f t="shared" si="6"/>
        <v/>
      </c>
      <c r="V12" s="6" t="str">
        <f t="shared" si="7"/>
        <v/>
      </c>
      <c r="W12" s="22" t="str">
        <f t="shared" si="8"/>
        <v/>
      </c>
      <c r="X12" s="22" t="str">
        <f t="shared" si="9"/>
        <v/>
      </c>
      <c r="Y12" s="22"/>
      <c r="Z12" s="1">
        <v>9</v>
      </c>
      <c r="AA12" s="1">
        <v>1</v>
      </c>
      <c r="AB12" s="1" t="s">
        <v>38</v>
      </c>
      <c r="AC12" s="2">
        <v>44051</v>
      </c>
      <c r="AD12" s="2">
        <v>43780</v>
      </c>
      <c r="AE12" s="36">
        <v>24.44</v>
      </c>
      <c r="AF12" s="36">
        <v>19.7</v>
      </c>
      <c r="AG12" s="36">
        <v>4.74</v>
      </c>
      <c r="AJ12" s="34">
        <f t="shared" si="10"/>
        <v>-7.0000000000000284E-2</v>
      </c>
      <c r="AK12" s="34">
        <f t="shared" si="11"/>
        <v>-4.68</v>
      </c>
      <c r="AL12" s="34">
        <f t="shared" si="12"/>
        <v>-4.6100000000000003</v>
      </c>
    </row>
    <row r="13" spans="2:38" x14ac:dyDescent="0.25">
      <c r="B13" s="11" t="s">
        <v>13</v>
      </c>
      <c r="C13" s="14">
        <v>500</v>
      </c>
      <c r="E13" s="25">
        <f t="shared" si="13"/>
        <v>10</v>
      </c>
      <c r="F13" s="26" t="str">
        <f t="shared" si="14"/>
        <v>12/05/2020</v>
      </c>
      <c r="G13" s="27">
        <f t="shared" si="15"/>
        <v>1</v>
      </c>
      <c r="H13" s="28">
        <f t="shared" si="0"/>
        <v>4.3691803278688525E-4</v>
      </c>
      <c r="I13" s="3">
        <f t="shared" si="16"/>
        <v>0.17045299999999999</v>
      </c>
      <c r="J13" s="3">
        <f t="shared" si="1"/>
        <v>0.85437006013910854</v>
      </c>
      <c r="K13" s="3">
        <f t="shared" si="17"/>
        <v>9.2741615490284559</v>
      </c>
      <c r="L13" s="30">
        <f t="shared" si="2"/>
        <v>53.91</v>
      </c>
      <c r="M13" s="29">
        <f t="shared" si="18"/>
        <v>284.19000000000005</v>
      </c>
      <c r="N13" s="29">
        <f t="shared" si="22"/>
        <v>0.12</v>
      </c>
      <c r="O13" s="29">
        <f t="shared" si="3"/>
        <v>24.39</v>
      </c>
      <c r="P13" s="29">
        <f t="shared" si="4"/>
        <v>24.51</v>
      </c>
      <c r="Q13" s="23" t="str">
        <f t="shared" si="5"/>
        <v>Y</v>
      </c>
      <c r="R13" s="5" t="str">
        <f t="shared" si="19"/>
        <v/>
      </c>
      <c r="S13" s="5" t="str">
        <f t="shared" si="20"/>
        <v/>
      </c>
      <c r="T13" s="5" t="str">
        <f t="shared" si="21"/>
        <v/>
      </c>
      <c r="U13" s="4" t="str">
        <f t="shared" si="6"/>
        <v/>
      </c>
      <c r="V13" s="6" t="str">
        <f t="shared" si="7"/>
        <v/>
      </c>
      <c r="W13" s="22" t="str">
        <f t="shared" si="8"/>
        <v/>
      </c>
      <c r="X13" s="22" t="str">
        <f t="shared" si="9"/>
        <v/>
      </c>
      <c r="Y13" s="22"/>
      <c r="Z13" s="1">
        <v>10</v>
      </c>
      <c r="AA13" s="1">
        <v>1</v>
      </c>
      <c r="AB13" s="1" t="s">
        <v>38</v>
      </c>
      <c r="AC13" s="2">
        <v>44082</v>
      </c>
      <c r="AD13" s="2">
        <v>43780</v>
      </c>
      <c r="AE13" s="36">
        <v>24.44</v>
      </c>
      <c r="AF13" s="36">
        <v>19.97</v>
      </c>
      <c r="AG13" s="36">
        <v>4.47</v>
      </c>
      <c r="AJ13" s="34">
        <f t="shared" si="10"/>
        <v>-7.0000000000000284E-2</v>
      </c>
      <c r="AK13" s="34">
        <f t="shared" si="11"/>
        <v>-4.4200000000000017</v>
      </c>
      <c r="AL13" s="34">
        <f t="shared" si="12"/>
        <v>-4.3499999999999996</v>
      </c>
    </row>
    <row r="14" spans="2:38" x14ac:dyDescent="0.25">
      <c r="B14" s="11" t="s">
        <v>12</v>
      </c>
      <c r="C14" s="13">
        <f>1.3326%*12</f>
        <v>0.159912</v>
      </c>
      <c r="E14" s="25">
        <f t="shared" si="13"/>
        <v>11</v>
      </c>
      <c r="F14" s="26" t="str">
        <f t="shared" si="14"/>
        <v>12/06/2020</v>
      </c>
      <c r="G14" s="27">
        <f t="shared" si="15"/>
        <v>1</v>
      </c>
      <c r="H14" s="28">
        <f t="shared" si="0"/>
        <v>4.3691803278688525E-4</v>
      </c>
      <c r="I14" s="3">
        <f t="shared" si="16"/>
        <v>0.170964</v>
      </c>
      <c r="J14" s="3">
        <f t="shared" si="1"/>
        <v>0.85399721938505357</v>
      </c>
      <c r="K14" s="3">
        <f t="shared" si="17"/>
        <v>10.12815876841351</v>
      </c>
      <c r="L14" s="30">
        <f t="shared" si="2"/>
        <v>49.36</v>
      </c>
      <c r="M14" s="29">
        <f t="shared" si="18"/>
        <v>259.80000000000007</v>
      </c>
      <c r="N14" s="29">
        <f t="shared" si="22"/>
        <v>0.11</v>
      </c>
      <c r="O14" s="29">
        <f t="shared" si="3"/>
        <v>24.4</v>
      </c>
      <c r="P14" s="29">
        <f t="shared" si="4"/>
        <v>24.51</v>
      </c>
      <c r="Q14" s="23" t="str">
        <f t="shared" si="5"/>
        <v>Y</v>
      </c>
      <c r="R14" s="5" t="str">
        <f t="shared" si="19"/>
        <v/>
      </c>
      <c r="S14" s="5" t="str">
        <f t="shared" si="20"/>
        <v/>
      </c>
      <c r="T14" s="5" t="str">
        <f t="shared" si="21"/>
        <v/>
      </c>
      <c r="U14" s="4" t="str">
        <f t="shared" si="6"/>
        <v/>
      </c>
      <c r="V14" s="6" t="str">
        <f t="shared" si="7"/>
        <v/>
      </c>
      <c r="W14" s="22" t="str">
        <f t="shared" si="8"/>
        <v/>
      </c>
      <c r="X14" s="22" t="str">
        <f t="shared" si="9"/>
        <v/>
      </c>
      <c r="Y14" s="22"/>
      <c r="Z14" s="1">
        <v>11</v>
      </c>
      <c r="AA14" s="1">
        <v>1</v>
      </c>
      <c r="AB14" s="1" t="s">
        <v>38</v>
      </c>
      <c r="AC14" s="2">
        <v>44112</v>
      </c>
      <c r="AD14" s="2">
        <v>43780</v>
      </c>
      <c r="AE14" s="36">
        <v>24.44</v>
      </c>
      <c r="AF14" s="36">
        <v>20.38</v>
      </c>
      <c r="AG14" s="36">
        <v>4.0599999999999996</v>
      </c>
      <c r="AJ14" s="34">
        <f t="shared" si="10"/>
        <v>-7.0000000000000284E-2</v>
      </c>
      <c r="AK14" s="34">
        <f t="shared" si="11"/>
        <v>-4.0199999999999996</v>
      </c>
      <c r="AL14" s="34">
        <f t="shared" si="12"/>
        <v>-3.9499999999999997</v>
      </c>
    </row>
    <row r="15" spans="2:38" x14ac:dyDescent="0.25">
      <c r="B15" s="11" t="s">
        <v>11</v>
      </c>
      <c r="C15" s="13">
        <f>1.3325%*12</f>
        <v>0.15989999999999999</v>
      </c>
      <c r="E15" s="25">
        <f t="shared" si="13"/>
        <v>12</v>
      </c>
      <c r="F15" s="26" t="str">
        <f t="shared" si="14"/>
        <v>12/07/2020</v>
      </c>
      <c r="G15" s="27">
        <f t="shared" si="15"/>
        <v>1</v>
      </c>
      <c r="H15" s="28">
        <f t="shared" si="0"/>
        <v>4.3691803278688525E-4</v>
      </c>
      <c r="I15" s="3">
        <f t="shared" si="16"/>
        <v>0.17147599999999999</v>
      </c>
      <c r="J15" s="3">
        <f t="shared" si="1"/>
        <v>0.8536239752244178</v>
      </c>
      <c r="K15" s="3">
        <f t="shared" si="17"/>
        <v>10.981782743637927</v>
      </c>
      <c r="L15" s="30">
        <f t="shared" si="2"/>
        <v>45.52</v>
      </c>
      <c r="M15" s="29">
        <f t="shared" si="18"/>
        <v>235.40000000000006</v>
      </c>
      <c r="N15" s="29">
        <f t="shared" si="22"/>
        <v>0.1</v>
      </c>
      <c r="O15" s="29">
        <f t="shared" si="3"/>
        <v>24.41</v>
      </c>
      <c r="P15" s="29">
        <f t="shared" si="4"/>
        <v>24.51</v>
      </c>
      <c r="Q15" s="23" t="str">
        <f t="shared" si="5"/>
        <v>Y</v>
      </c>
      <c r="R15" s="5" t="str">
        <f t="shared" si="19"/>
        <v/>
      </c>
      <c r="S15" s="5" t="str">
        <f t="shared" si="20"/>
        <v/>
      </c>
      <c r="T15" s="5" t="str">
        <f t="shared" si="21"/>
        <v/>
      </c>
      <c r="U15" s="4" t="str">
        <f t="shared" si="6"/>
        <v/>
      </c>
      <c r="V15" s="6" t="str">
        <f t="shared" si="7"/>
        <v/>
      </c>
      <c r="W15" s="22" t="str">
        <f t="shared" si="8"/>
        <v/>
      </c>
      <c r="X15" s="22" t="str">
        <f t="shared" si="9"/>
        <v/>
      </c>
      <c r="Y15" s="22"/>
      <c r="Z15" s="1">
        <v>12</v>
      </c>
      <c r="AA15" s="1">
        <v>1</v>
      </c>
      <c r="AB15" s="1" t="s">
        <v>38</v>
      </c>
      <c r="AC15" s="2">
        <v>44143</v>
      </c>
      <c r="AD15" s="2">
        <v>43780</v>
      </c>
      <c r="AE15" s="36">
        <v>24.44</v>
      </c>
      <c r="AF15" s="36">
        <v>20.52</v>
      </c>
      <c r="AG15" s="36">
        <v>3.92</v>
      </c>
      <c r="AJ15" s="34">
        <f t="shared" si="10"/>
        <v>-7.0000000000000284E-2</v>
      </c>
      <c r="AK15" s="34">
        <f t="shared" si="11"/>
        <v>-3.8900000000000006</v>
      </c>
      <c r="AL15" s="34">
        <f t="shared" si="12"/>
        <v>-3.82</v>
      </c>
    </row>
    <row r="16" spans="2:38" x14ac:dyDescent="0.25">
      <c r="B16" s="11" t="s">
        <v>10</v>
      </c>
      <c r="C16" s="12">
        <v>24</v>
      </c>
      <c r="E16" s="25">
        <f t="shared" si="13"/>
        <v>13</v>
      </c>
      <c r="F16" s="26" t="str">
        <f t="shared" si="14"/>
        <v>12/08/2020</v>
      </c>
      <c r="G16" s="27">
        <f t="shared" si="15"/>
        <v>1</v>
      </c>
      <c r="H16" s="28">
        <f t="shared" si="0"/>
        <v>4.3691803278688525E-4</v>
      </c>
      <c r="I16" s="3">
        <f t="shared" si="16"/>
        <v>0.171988</v>
      </c>
      <c r="J16" s="3">
        <f t="shared" si="1"/>
        <v>0.85325105717805982</v>
      </c>
      <c r="K16" s="3">
        <f t="shared" si="17"/>
        <v>11.835033800815987</v>
      </c>
      <c r="L16" s="30">
        <f t="shared" si="2"/>
        <v>42.24</v>
      </c>
      <c r="M16" s="29">
        <f t="shared" si="18"/>
        <v>210.99000000000007</v>
      </c>
      <c r="N16" s="29">
        <f t="shared" si="22"/>
        <v>0.09</v>
      </c>
      <c r="O16" s="29">
        <f t="shared" si="3"/>
        <v>24.42</v>
      </c>
      <c r="P16" s="29">
        <f t="shared" si="4"/>
        <v>24.51</v>
      </c>
      <c r="Q16" s="23" t="str">
        <f t="shared" si="5"/>
        <v>Y</v>
      </c>
      <c r="R16" s="5" t="str">
        <f t="shared" si="19"/>
        <v/>
      </c>
      <c r="S16" s="5" t="str">
        <f t="shared" si="20"/>
        <v/>
      </c>
      <c r="T16" s="5" t="str">
        <f t="shared" si="21"/>
        <v/>
      </c>
      <c r="U16" s="4" t="str">
        <f t="shared" si="6"/>
        <v/>
      </c>
      <c r="V16" s="6" t="str">
        <f t="shared" si="7"/>
        <v/>
      </c>
      <c r="W16" s="22" t="str">
        <f t="shared" si="8"/>
        <v/>
      </c>
      <c r="X16" s="22" t="str">
        <f t="shared" si="9"/>
        <v/>
      </c>
      <c r="Y16" s="22"/>
      <c r="Z16" s="1">
        <v>13</v>
      </c>
      <c r="AA16" s="1">
        <v>1</v>
      </c>
      <c r="AB16" s="1" t="s">
        <v>38</v>
      </c>
      <c r="AC16" s="2">
        <v>44173</v>
      </c>
      <c r="AD16" s="2">
        <v>43780</v>
      </c>
      <c r="AE16" s="36">
        <v>24.44</v>
      </c>
      <c r="AF16" s="36">
        <v>20.91</v>
      </c>
      <c r="AG16" s="36">
        <v>3.53</v>
      </c>
      <c r="AJ16" s="34">
        <f t="shared" si="10"/>
        <v>-7.0000000000000284E-2</v>
      </c>
      <c r="AK16" s="34">
        <f t="shared" si="11"/>
        <v>-3.5100000000000016</v>
      </c>
      <c r="AL16" s="34">
        <f t="shared" si="12"/>
        <v>-3.44</v>
      </c>
    </row>
    <row r="17" spans="2:38" x14ac:dyDescent="0.25">
      <c r="B17" s="11" t="s">
        <v>9</v>
      </c>
      <c r="C17" s="12">
        <v>24</v>
      </c>
      <c r="E17" s="25">
        <f t="shared" si="13"/>
        <v>14</v>
      </c>
      <c r="F17" s="26" t="str">
        <f t="shared" si="14"/>
        <v>12/09/2020</v>
      </c>
      <c r="G17" s="27">
        <f t="shared" si="15"/>
        <v>1</v>
      </c>
      <c r="H17" s="28">
        <f t="shared" si="0"/>
        <v>4.3691803278688525E-4</v>
      </c>
      <c r="I17" s="3">
        <f t="shared" si="16"/>
        <v>0.17249999999999999</v>
      </c>
      <c r="J17" s="3">
        <f t="shared" si="1"/>
        <v>0.85287846481876339</v>
      </c>
      <c r="K17" s="3">
        <f t="shared" si="17"/>
        <v>12.68791226563475</v>
      </c>
      <c r="L17" s="30">
        <f t="shared" si="2"/>
        <v>39.4</v>
      </c>
      <c r="M17" s="29">
        <f t="shared" si="18"/>
        <v>186.57000000000005</v>
      </c>
      <c r="N17" s="29">
        <f t="shared" si="22"/>
        <v>0.08</v>
      </c>
      <c r="O17" s="29">
        <f t="shared" si="3"/>
        <v>24.43</v>
      </c>
      <c r="P17" s="29">
        <f t="shared" si="4"/>
        <v>24.51</v>
      </c>
      <c r="Q17" s="23" t="str">
        <f t="shared" si="5"/>
        <v>Y</v>
      </c>
      <c r="R17" s="5" t="str">
        <f t="shared" si="19"/>
        <v/>
      </c>
      <c r="S17" s="5" t="str">
        <f t="shared" si="20"/>
        <v/>
      </c>
      <c r="T17" s="5" t="str">
        <f t="shared" si="21"/>
        <v/>
      </c>
      <c r="U17" s="4" t="str">
        <f t="shared" si="6"/>
        <v/>
      </c>
      <c r="V17" s="6" t="str">
        <f t="shared" si="7"/>
        <v/>
      </c>
      <c r="W17" s="22" t="str">
        <f t="shared" si="8"/>
        <v/>
      </c>
      <c r="X17" s="22" t="str">
        <f t="shared" si="9"/>
        <v/>
      </c>
      <c r="Y17" s="22"/>
      <c r="Z17" s="1">
        <v>14</v>
      </c>
      <c r="AA17" s="1">
        <v>1</v>
      </c>
      <c r="AB17" s="1" t="s">
        <v>38</v>
      </c>
      <c r="AC17" s="2">
        <v>44204</v>
      </c>
      <c r="AD17" s="2">
        <v>43780</v>
      </c>
      <c r="AE17" s="36">
        <v>24.44</v>
      </c>
      <c r="AF17" s="36">
        <v>21.08</v>
      </c>
      <c r="AG17" s="36">
        <v>3.36</v>
      </c>
      <c r="AJ17" s="34">
        <f t="shared" si="10"/>
        <v>-7.0000000000000284E-2</v>
      </c>
      <c r="AK17" s="34">
        <f t="shared" si="11"/>
        <v>-3.3500000000000014</v>
      </c>
      <c r="AL17" s="34">
        <f t="shared" si="12"/>
        <v>-3.28</v>
      </c>
    </row>
    <row r="18" spans="2:38" x14ac:dyDescent="0.25">
      <c r="B18" s="11" t="s">
        <v>8</v>
      </c>
      <c r="C18" s="10">
        <v>43807</v>
      </c>
      <c r="E18" s="25">
        <f t="shared" si="13"/>
        <v>15</v>
      </c>
      <c r="F18" s="26" t="str">
        <f t="shared" si="14"/>
        <v>12/10/2020</v>
      </c>
      <c r="G18" s="27">
        <f t="shared" si="15"/>
        <v>1</v>
      </c>
      <c r="H18" s="28">
        <f t="shared" si="0"/>
        <v>4.3691803278688525E-4</v>
      </c>
      <c r="I18" s="3">
        <f t="shared" si="16"/>
        <v>0.173012</v>
      </c>
      <c r="J18" s="3">
        <f t="shared" si="1"/>
        <v>0.85250619772005742</v>
      </c>
      <c r="K18" s="3">
        <f t="shared" si="17"/>
        <v>13.540418463354808</v>
      </c>
      <c r="L18" s="30">
        <f t="shared" si="2"/>
        <v>36.92</v>
      </c>
      <c r="M18" s="29">
        <f t="shared" si="18"/>
        <v>162.14000000000004</v>
      </c>
      <c r="N18" s="29">
        <f t="shared" si="22"/>
        <v>7.0000000000000007E-2</v>
      </c>
      <c r="O18" s="29">
        <f t="shared" si="3"/>
        <v>24.44</v>
      </c>
      <c r="P18" s="29">
        <f t="shared" si="4"/>
        <v>24.51</v>
      </c>
      <c r="Q18" s="23" t="str">
        <f t="shared" si="5"/>
        <v>Y</v>
      </c>
      <c r="R18" s="5" t="str">
        <f t="shared" si="19"/>
        <v/>
      </c>
      <c r="S18" s="5" t="str">
        <f t="shared" si="20"/>
        <v/>
      </c>
      <c r="T18" s="5" t="str">
        <f t="shared" si="21"/>
        <v/>
      </c>
      <c r="U18" s="4" t="str">
        <f t="shared" si="6"/>
        <v/>
      </c>
      <c r="V18" s="6" t="str">
        <f t="shared" si="7"/>
        <v/>
      </c>
      <c r="W18" s="22" t="str">
        <f t="shared" si="8"/>
        <v/>
      </c>
      <c r="X18" s="22" t="str">
        <f t="shared" si="9"/>
        <v/>
      </c>
      <c r="Y18" s="22"/>
      <c r="Z18" s="1">
        <v>15</v>
      </c>
      <c r="AA18" s="1">
        <v>1</v>
      </c>
      <c r="AB18" s="1" t="s">
        <v>38</v>
      </c>
      <c r="AC18" s="2">
        <v>44235</v>
      </c>
      <c r="AD18" s="2">
        <v>43780</v>
      </c>
      <c r="AE18" s="36">
        <v>24.44</v>
      </c>
      <c r="AF18" s="36">
        <v>21.36</v>
      </c>
      <c r="AG18" s="36">
        <v>3.08</v>
      </c>
      <c r="AJ18" s="34">
        <f t="shared" si="10"/>
        <v>-7.0000000000000284E-2</v>
      </c>
      <c r="AK18" s="34">
        <f t="shared" si="11"/>
        <v>-3.0800000000000018</v>
      </c>
      <c r="AL18" s="34">
        <f t="shared" si="12"/>
        <v>-3.0100000000000002</v>
      </c>
    </row>
    <row r="19" spans="2:38" x14ac:dyDescent="0.25">
      <c r="B19" s="9" t="s">
        <v>7</v>
      </c>
      <c r="C19" s="8">
        <f>IFERROR(TRUNC(VLOOKUP($C$17,$E$4:$L$69,8),2),"")</f>
        <v>24.51</v>
      </c>
      <c r="E19" s="25">
        <f t="shared" si="13"/>
        <v>16</v>
      </c>
      <c r="F19" s="26" t="str">
        <f t="shared" si="14"/>
        <v>12/11/2020</v>
      </c>
      <c r="G19" s="27">
        <f t="shared" si="15"/>
        <v>1</v>
      </c>
      <c r="H19" s="28">
        <f t="shared" si="0"/>
        <v>4.3691803278688525E-4</v>
      </c>
      <c r="I19" s="3">
        <f t="shared" si="16"/>
        <v>0.17352500000000001</v>
      </c>
      <c r="J19" s="3">
        <f t="shared" si="1"/>
        <v>0.85213352932404518</v>
      </c>
      <c r="K19" s="3">
        <f t="shared" si="17"/>
        <v>14.392551992678852</v>
      </c>
      <c r="L19" s="30">
        <f t="shared" si="2"/>
        <v>34.74</v>
      </c>
      <c r="M19" s="29">
        <f t="shared" si="18"/>
        <v>137.70000000000005</v>
      </c>
      <c r="N19" s="29">
        <f t="shared" si="22"/>
        <v>0.06</v>
      </c>
      <c r="O19" s="29">
        <f t="shared" si="3"/>
        <v>24.45</v>
      </c>
      <c r="P19" s="29">
        <f t="shared" si="4"/>
        <v>24.51</v>
      </c>
      <c r="Q19" s="23" t="str">
        <f t="shared" si="5"/>
        <v>Y</v>
      </c>
      <c r="R19" s="5" t="str">
        <f t="shared" si="19"/>
        <v/>
      </c>
      <c r="S19" s="5" t="str">
        <f t="shared" si="20"/>
        <v/>
      </c>
      <c r="T19" s="5" t="str">
        <f t="shared" si="21"/>
        <v/>
      </c>
      <c r="U19" s="4" t="str">
        <f t="shared" si="6"/>
        <v/>
      </c>
      <c r="V19" s="6" t="str">
        <f t="shared" si="7"/>
        <v/>
      </c>
      <c r="W19" s="22" t="str">
        <f t="shared" si="8"/>
        <v/>
      </c>
      <c r="X19" s="22" t="str">
        <f t="shared" si="9"/>
        <v/>
      </c>
      <c r="Y19" s="22"/>
      <c r="Z19" s="1">
        <v>16</v>
      </c>
      <c r="AA19" s="1">
        <v>1</v>
      </c>
      <c r="AB19" s="1" t="s">
        <v>38</v>
      </c>
      <c r="AC19" s="2">
        <v>44263</v>
      </c>
      <c r="AD19" s="2">
        <v>43780</v>
      </c>
      <c r="AE19" s="36">
        <v>24.44</v>
      </c>
      <c r="AF19" s="36">
        <v>21.92</v>
      </c>
      <c r="AG19" s="36">
        <v>2.52</v>
      </c>
      <c r="AJ19" s="34">
        <f t="shared" si="10"/>
        <v>-7.0000000000000284E-2</v>
      </c>
      <c r="AK19" s="34">
        <f t="shared" si="11"/>
        <v>-2.5299999999999976</v>
      </c>
      <c r="AL19" s="34">
        <f t="shared" si="12"/>
        <v>-2.46</v>
      </c>
    </row>
    <row r="20" spans="2:38" x14ac:dyDescent="0.25">
      <c r="E20" s="25">
        <f t="shared" si="13"/>
        <v>17</v>
      </c>
      <c r="F20" s="26" t="str">
        <f t="shared" si="14"/>
        <v>12/12/2020</v>
      </c>
      <c r="G20" s="27">
        <f t="shared" si="15"/>
        <v>1</v>
      </c>
      <c r="H20" s="28">
        <f t="shared" si="0"/>
        <v>4.3691803278688525E-4</v>
      </c>
      <c r="I20" s="3">
        <f t="shared" si="16"/>
        <v>0.174038</v>
      </c>
      <c r="J20" s="3">
        <f t="shared" si="1"/>
        <v>0.85176118660554434</v>
      </c>
      <c r="K20" s="3">
        <f t="shared" si="17"/>
        <v>15.244313179284397</v>
      </c>
      <c r="L20" s="30">
        <f t="shared" si="2"/>
        <v>32.79</v>
      </c>
      <c r="M20" s="29">
        <f t="shared" si="18"/>
        <v>113.25000000000004</v>
      </c>
      <c r="N20" s="29">
        <f t="shared" si="22"/>
        <v>0.04</v>
      </c>
      <c r="O20" s="29">
        <f t="shared" si="3"/>
        <v>24.47</v>
      </c>
      <c r="P20" s="29">
        <f t="shared" si="4"/>
        <v>24.51</v>
      </c>
      <c r="Q20" s="23" t="str">
        <f t="shared" si="5"/>
        <v>Y</v>
      </c>
      <c r="R20" s="5" t="str">
        <f t="shared" si="19"/>
        <v/>
      </c>
      <c r="S20" s="5" t="str">
        <f t="shared" si="20"/>
        <v/>
      </c>
      <c r="T20" s="5" t="str">
        <f t="shared" si="21"/>
        <v/>
      </c>
      <c r="U20" s="4" t="str">
        <f t="shared" si="6"/>
        <v/>
      </c>
      <c r="V20" s="6" t="str">
        <f t="shared" si="7"/>
        <v/>
      </c>
      <c r="W20" s="22" t="str">
        <f t="shared" si="8"/>
        <v/>
      </c>
      <c r="X20" s="22" t="str">
        <f t="shared" si="9"/>
        <v/>
      </c>
      <c r="Y20" s="22"/>
      <c r="Z20" s="1">
        <v>17</v>
      </c>
      <c r="AA20" s="1">
        <v>1</v>
      </c>
      <c r="AB20" s="1" t="s">
        <v>38</v>
      </c>
      <c r="AC20" s="2">
        <v>44294</v>
      </c>
      <c r="AD20" s="2">
        <v>43780</v>
      </c>
      <c r="AE20" s="36">
        <v>24.44</v>
      </c>
      <c r="AF20" s="36">
        <v>21.94</v>
      </c>
      <c r="AG20" s="36">
        <v>2.5</v>
      </c>
      <c r="AJ20" s="34">
        <f t="shared" si="10"/>
        <v>-7.0000000000000284E-2</v>
      </c>
      <c r="AK20" s="34">
        <f t="shared" si="11"/>
        <v>-2.5299999999999976</v>
      </c>
      <c r="AL20" s="34">
        <f t="shared" si="12"/>
        <v>-2.46</v>
      </c>
    </row>
    <row r="21" spans="2:38" x14ac:dyDescent="0.25">
      <c r="E21" s="25">
        <f t="shared" si="13"/>
        <v>18</v>
      </c>
      <c r="F21" s="26" t="str">
        <f t="shared" si="14"/>
        <v>12/01/2021</v>
      </c>
      <c r="G21" s="27">
        <f t="shared" si="15"/>
        <v>354</v>
      </c>
      <c r="H21" s="28">
        <f t="shared" si="0"/>
        <v>0.15509273424657535</v>
      </c>
      <c r="I21" s="3">
        <f t="shared" si="16"/>
        <v>0.35612300000000002</v>
      </c>
      <c r="J21" s="3">
        <f t="shared" si="1"/>
        <v>0.73739623913170116</v>
      </c>
      <c r="K21" s="3">
        <f t="shared" si="17"/>
        <v>15.981709418416099</v>
      </c>
      <c r="L21" s="30">
        <f t="shared" si="2"/>
        <v>31.28</v>
      </c>
      <c r="M21" s="29">
        <f t="shared" si="18"/>
        <v>88.780000000000044</v>
      </c>
      <c r="N21" s="29">
        <f t="shared" si="22"/>
        <v>0</v>
      </c>
      <c r="O21" s="29">
        <f t="shared" si="3"/>
        <v>24.51</v>
      </c>
      <c r="P21" s="29">
        <f t="shared" si="4"/>
        <v>24.51</v>
      </c>
      <c r="Q21" s="23" t="str">
        <f t="shared" si="5"/>
        <v>N</v>
      </c>
      <c r="R21" s="5" t="str">
        <f t="shared" si="19"/>
        <v>12/12/2020</v>
      </c>
      <c r="S21" s="5" t="str">
        <f t="shared" si="20"/>
        <v>31/12/2020</v>
      </c>
      <c r="T21" s="5" t="str">
        <f t="shared" si="21"/>
        <v>12/01/2021</v>
      </c>
      <c r="U21" s="4" t="str">
        <f t="shared" si="6"/>
        <v/>
      </c>
      <c r="V21" s="6" t="str">
        <f t="shared" si="7"/>
        <v/>
      </c>
      <c r="W21" s="22" t="str">
        <f t="shared" si="8"/>
        <v/>
      </c>
      <c r="X21" s="22" t="str">
        <f t="shared" si="9"/>
        <v/>
      </c>
      <c r="Y21" s="22"/>
      <c r="Z21" s="1">
        <v>18</v>
      </c>
      <c r="AA21" s="1">
        <v>1</v>
      </c>
      <c r="AB21" s="1" t="s">
        <v>38</v>
      </c>
      <c r="AC21" s="2">
        <v>44324</v>
      </c>
      <c r="AD21" s="2">
        <v>43780</v>
      </c>
      <c r="AE21" s="36">
        <v>24.44</v>
      </c>
      <c r="AF21" s="36">
        <v>22.31</v>
      </c>
      <c r="AG21" s="36">
        <v>2.13</v>
      </c>
      <c r="AJ21" s="34">
        <f t="shared" si="10"/>
        <v>-7.0000000000000284E-2</v>
      </c>
      <c r="AK21" s="34">
        <f t="shared" si="11"/>
        <v>-2.2000000000000028</v>
      </c>
      <c r="AL21" s="34">
        <f t="shared" si="12"/>
        <v>-2.13</v>
      </c>
    </row>
    <row r="22" spans="2:38" x14ac:dyDescent="0.25">
      <c r="E22" s="25">
        <f t="shared" si="13"/>
        <v>19</v>
      </c>
      <c r="F22" s="26" t="str">
        <f t="shared" si="14"/>
        <v>12/02/2021</v>
      </c>
      <c r="G22" s="27">
        <f t="shared" si="15"/>
        <v>1</v>
      </c>
      <c r="H22" s="28">
        <f t="shared" si="0"/>
        <v>4.381150684931507E-4</v>
      </c>
      <c r="I22" s="3">
        <f t="shared" si="16"/>
        <v>0.35671700000000001</v>
      </c>
      <c r="J22" s="3">
        <f t="shared" si="1"/>
        <v>0.73707339113462866</v>
      </c>
      <c r="K22" s="3">
        <f t="shared" si="17"/>
        <v>16.718782809550728</v>
      </c>
      <c r="L22" s="30">
        <f t="shared" si="2"/>
        <v>29.9</v>
      </c>
      <c r="M22" s="29">
        <f t="shared" si="18"/>
        <v>64.270000000000039</v>
      </c>
      <c r="N22" s="29">
        <f t="shared" si="22"/>
        <v>0.02</v>
      </c>
      <c r="O22" s="29">
        <f t="shared" si="3"/>
        <v>24.49</v>
      </c>
      <c r="P22" s="29">
        <f t="shared" si="4"/>
        <v>24.51</v>
      </c>
      <c r="Q22" s="23" t="str">
        <f t="shared" si="5"/>
        <v>N</v>
      </c>
      <c r="R22" s="5" t="str">
        <f t="shared" si="19"/>
        <v/>
      </c>
      <c r="S22" s="5" t="str">
        <f t="shared" si="20"/>
        <v/>
      </c>
      <c r="T22" s="5" t="str">
        <f t="shared" si="21"/>
        <v/>
      </c>
      <c r="U22" s="4" t="str">
        <f t="shared" si="6"/>
        <v/>
      </c>
      <c r="V22" s="6" t="str">
        <f t="shared" si="7"/>
        <v/>
      </c>
      <c r="W22" s="22" t="str">
        <f t="shared" si="8"/>
        <v/>
      </c>
      <c r="X22" s="22" t="str">
        <f t="shared" si="9"/>
        <v/>
      </c>
      <c r="Y22" s="22"/>
      <c r="Z22" s="1">
        <v>19</v>
      </c>
      <c r="AA22" s="1">
        <v>1</v>
      </c>
      <c r="AB22" s="1" t="s">
        <v>38</v>
      </c>
      <c r="AC22" s="2">
        <v>44355</v>
      </c>
      <c r="AD22" s="2">
        <v>43780</v>
      </c>
      <c r="AE22" s="36">
        <v>24.44</v>
      </c>
      <c r="AF22" s="36">
        <v>22.54</v>
      </c>
      <c r="AG22" s="36">
        <v>1.9</v>
      </c>
      <c r="AJ22" s="34">
        <f t="shared" si="10"/>
        <v>-7.0000000000000284E-2</v>
      </c>
      <c r="AK22" s="34">
        <f t="shared" si="11"/>
        <v>-1.9499999999999993</v>
      </c>
      <c r="AL22" s="34">
        <f t="shared" si="12"/>
        <v>-1.88</v>
      </c>
    </row>
    <row r="23" spans="2:38" x14ac:dyDescent="0.25">
      <c r="E23" s="25">
        <f t="shared" si="13"/>
        <v>20</v>
      </c>
      <c r="F23" s="26" t="str">
        <f t="shared" si="14"/>
        <v>12/03/2021</v>
      </c>
      <c r="G23" s="27">
        <f t="shared" si="15"/>
        <v>1</v>
      </c>
      <c r="H23" s="28">
        <f t="shared" si="0"/>
        <v>4.381150684931507E-4</v>
      </c>
      <c r="I23" s="3">
        <f t="shared" si="16"/>
        <v>0.35731099999999999</v>
      </c>
      <c r="J23" s="3">
        <f t="shared" si="1"/>
        <v>0.73675082571348793</v>
      </c>
      <c r="K23" s="3">
        <f t="shared" si="17"/>
        <v>17.455533635264217</v>
      </c>
      <c r="L23" s="30">
        <f t="shared" si="2"/>
        <v>28.64</v>
      </c>
      <c r="M23" s="29">
        <f t="shared" si="18"/>
        <v>39.780000000000044</v>
      </c>
      <c r="N23" s="29">
        <f t="shared" si="22"/>
        <v>0.01</v>
      </c>
      <c r="O23" s="29">
        <f t="shared" si="3"/>
        <v>24.5</v>
      </c>
      <c r="P23" s="29">
        <f t="shared" si="4"/>
        <v>24.51</v>
      </c>
      <c r="Q23" s="23" t="str">
        <f t="shared" si="5"/>
        <v>N</v>
      </c>
      <c r="R23" s="5" t="str">
        <f t="shared" si="19"/>
        <v/>
      </c>
      <c r="S23" s="5" t="str">
        <f t="shared" si="20"/>
        <v/>
      </c>
      <c r="T23" s="5" t="str">
        <f t="shared" si="21"/>
        <v/>
      </c>
      <c r="U23" s="4" t="str">
        <f t="shared" si="6"/>
        <v/>
      </c>
      <c r="V23" s="6" t="str">
        <f t="shared" si="7"/>
        <v/>
      </c>
      <c r="W23" s="22" t="str">
        <f t="shared" si="8"/>
        <v/>
      </c>
      <c r="X23" s="22" t="str">
        <f t="shared" si="9"/>
        <v/>
      </c>
      <c r="Y23" s="22"/>
      <c r="Z23" s="1">
        <v>20</v>
      </c>
      <c r="AA23" s="1">
        <v>1</v>
      </c>
      <c r="AB23" s="1" t="s">
        <v>38</v>
      </c>
      <c r="AC23" s="2">
        <v>44385</v>
      </c>
      <c r="AD23" s="2">
        <v>43780</v>
      </c>
      <c r="AE23" s="36">
        <v>24.44</v>
      </c>
      <c r="AF23" s="36">
        <v>22.9</v>
      </c>
      <c r="AG23" s="36">
        <v>1.54</v>
      </c>
      <c r="AJ23" s="34">
        <f t="shared" si="10"/>
        <v>-7.0000000000000284E-2</v>
      </c>
      <c r="AK23" s="34">
        <f t="shared" si="11"/>
        <v>-1.6000000000000014</v>
      </c>
      <c r="AL23" s="34">
        <f t="shared" si="12"/>
        <v>-1.53</v>
      </c>
    </row>
    <row r="24" spans="2:38" x14ac:dyDescent="0.25">
      <c r="E24" s="25">
        <f t="shared" si="13"/>
        <v>21</v>
      </c>
      <c r="F24" s="26" t="str">
        <f t="shared" si="14"/>
        <v>12/04/2021</v>
      </c>
      <c r="G24" s="27">
        <f t="shared" si="15"/>
        <v>1</v>
      </c>
      <c r="H24" s="28">
        <f t="shared" si="0"/>
        <v>4.381150684931507E-4</v>
      </c>
      <c r="I24" s="7">
        <f t="shared" si="16"/>
        <v>0.357906</v>
      </c>
      <c r="J24" s="3">
        <f t="shared" si="1"/>
        <v>0.7364280001708513</v>
      </c>
      <c r="K24" s="3">
        <f t="shared" si="17"/>
        <v>18.191961635435067</v>
      </c>
      <c r="L24" s="30">
        <f t="shared" si="2"/>
        <v>27.48</v>
      </c>
      <c r="M24" s="29">
        <f t="shared" si="18"/>
        <v>15.280000000000044</v>
      </c>
      <c r="N24" s="29">
        <f t="shared" si="22"/>
        <v>0</v>
      </c>
      <c r="O24" s="29">
        <f t="shared" si="3"/>
        <v>24.51</v>
      </c>
      <c r="P24" s="29">
        <f t="shared" si="4"/>
        <v>24.51</v>
      </c>
      <c r="Q24" s="23" t="str">
        <f t="shared" si="5"/>
        <v>N</v>
      </c>
      <c r="R24" s="5" t="str">
        <f t="shared" si="19"/>
        <v/>
      </c>
      <c r="S24" s="5" t="str">
        <f t="shared" si="20"/>
        <v/>
      </c>
      <c r="T24" s="5" t="str">
        <f t="shared" si="21"/>
        <v/>
      </c>
      <c r="U24" s="4" t="str">
        <f t="shared" si="6"/>
        <v/>
      </c>
      <c r="V24" s="6" t="str">
        <f t="shared" si="7"/>
        <v/>
      </c>
      <c r="W24" s="22" t="str">
        <f t="shared" si="8"/>
        <v/>
      </c>
      <c r="X24" s="22" t="str">
        <f t="shared" si="9"/>
        <v/>
      </c>
      <c r="Y24" s="22"/>
      <c r="Z24" s="1">
        <v>21</v>
      </c>
      <c r="AA24" s="1">
        <v>1</v>
      </c>
      <c r="AB24" s="1" t="s">
        <v>38</v>
      </c>
      <c r="AC24" s="2">
        <v>44416</v>
      </c>
      <c r="AD24" s="2">
        <v>43780</v>
      </c>
      <c r="AE24" s="36">
        <v>24.44</v>
      </c>
      <c r="AF24" s="36">
        <v>23.16</v>
      </c>
      <c r="AG24" s="36">
        <v>1.28</v>
      </c>
      <c r="AJ24" s="34">
        <f t="shared" si="10"/>
        <v>-7.0000000000000284E-2</v>
      </c>
      <c r="AK24" s="34">
        <f t="shared" si="11"/>
        <v>-1.3500000000000014</v>
      </c>
      <c r="AL24" s="34">
        <f t="shared" si="12"/>
        <v>-1.28</v>
      </c>
    </row>
    <row r="25" spans="2:38" x14ac:dyDescent="0.25">
      <c r="E25" s="25">
        <f t="shared" si="13"/>
        <v>22</v>
      </c>
      <c r="F25" s="26" t="str">
        <f t="shared" si="14"/>
        <v>12/05/2021</v>
      </c>
      <c r="G25" s="27">
        <f t="shared" si="15"/>
        <v>1</v>
      </c>
      <c r="H25" s="28">
        <f t="shared" si="0"/>
        <v>4.381150684931507E-4</v>
      </c>
      <c r="I25" s="3">
        <f t="shared" si="16"/>
        <v>0.35850100000000001</v>
      </c>
      <c r="J25" s="3">
        <f t="shared" si="1"/>
        <v>0.73610545741225075</v>
      </c>
      <c r="K25" s="7">
        <f t="shared" si="17"/>
        <v>18.928067092847318</v>
      </c>
      <c r="L25" s="30">
        <f t="shared" si="2"/>
        <v>26.41</v>
      </c>
      <c r="M25" s="29" t="str">
        <f t="shared" si="18"/>
        <v/>
      </c>
      <c r="N25" s="29" t="str">
        <f t="shared" si="22"/>
        <v/>
      </c>
      <c r="O25" s="29" t="str">
        <f t="shared" si="3"/>
        <v/>
      </c>
      <c r="P25" s="29" t="str">
        <f t="shared" si="4"/>
        <v/>
      </c>
      <c r="Q25" s="23" t="str">
        <f t="shared" si="5"/>
        <v>N</v>
      </c>
      <c r="R25" s="5" t="str">
        <f t="shared" si="19"/>
        <v/>
      </c>
      <c r="S25" s="5" t="str">
        <f t="shared" si="20"/>
        <v/>
      </c>
      <c r="T25" s="5" t="str">
        <f t="shared" si="21"/>
        <v/>
      </c>
      <c r="U25" s="4" t="str">
        <f t="shared" si="6"/>
        <v/>
      </c>
      <c r="V25" s="6" t="str">
        <f t="shared" si="7"/>
        <v/>
      </c>
      <c r="W25" s="22" t="str">
        <f t="shared" si="8"/>
        <v/>
      </c>
      <c r="X25" s="22" t="str">
        <f t="shared" si="9"/>
        <v/>
      </c>
      <c r="Y25" s="22"/>
      <c r="Z25" s="1">
        <v>22</v>
      </c>
      <c r="AA25" s="1">
        <v>1</v>
      </c>
      <c r="AB25" s="1" t="s">
        <v>38</v>
      </c>
      <c r="AC25" s="2">
        <v>44447</v>
      </c>
      <c r="AD25" s="2">
        <v>43780</v>
      </c>
      <c r="AE25" s="36">
        <v>24.44</v>
      </c>
      <c r="AF25" s="36">
        <v>23.48</v>
      </c>
      <c r="AG25" s="36">
        <v>0.96</v>
      </c>
      <c r="AJ25" s="34" t="e">
        <f t="shared" si="10"/>
        <v>#VALUE!</v>
      </c>
      <c r="AK25" s="34" t="e">
        <f t="shared" si="11"/>
        <v>#VALUE!</v>
      </c>
      <c r="AL25" s="34" t="e">
        <f t="shared" si="12"/>
        <v>#VALUE!</v>
      </c>
    </row>
    <row r="26" spans="2:38" x14ac:dyDescent="0.25">
      <c r="E26" s="25">
        <f t="shared" si="13"/>
        <v>23</v>
      </c>
      <c r="F26" s="26" t="str">
        <f t="shared" si="14"/>
        <v>12/06/2021</v>
      </c>
      <c r="G26" s="27">
        <f t="shared" si="15"/>
        <v>1</v>
      </c>
      <c r="H26" s="28">
        <f t="shared" si="0"/>
        <v>4.381150684931507E-4</v>
      </c>
      <c r="I26" s="3">
        <f t="shared" si="16"/>
        <v>0.35909600000000003</v>
      </c>
      <c r="J26" s="3">
        <f t="shared" si="1"/>
        <v>0.73578319706628514</v>
      </c>
      <c r="K26" s="3">
        <f t="shared" si="17"/>
        <v>19.663850289913604</v>
      </c>
      <c r="L26" s="30">
        <f t="shared" si="2"/>
        <v>25.42</v>
      </c>
      <c r="M26" s="29" t="str">
        <f t="shared" si="18"/>
        <v/>
      </c>
      <c r="N26" s="29" t="str">
        <f t="shared" si="22"/>
        <v/>
      </c>
      <c r="O26" s="29" t="str">
        <f t="shared" si="3"/>
        <v/>
      </c>
      <c r="P26" s="29" t="str">
        <f t="shared" si="4"/>
        <v/>
      </c>
      <c r="Q26" s="23" t="str">
        <f t="shared" si="5"/>
        <v>N</v>
      </c>
      <c r="R26" s="5" t="str">
        <f t="shared" si="19"/>
        <v/>
      </c>
      <c r="S26" s="5" t="str">
        <f t="shared" si="20"/>
        <v/>
      </c>
      <c r="T26" s="5" t="str">
        <f t="shared" si="21"/>
        <v/>
      </c>
      <c r="U26" s="4" t="str">
        <f t="shared" si="6"/>
        <v/>
      </c>
      <c r="V26" s="6" t="str">
        <f t="shared" si="7"/>
        <v/>
      </c>
      <c r="W26" s="22" t="str">
        <f t="shared" si="8"/>
        <v/>
      </c>
      <c r="X26" s="22" t="str">
        <f t="shared" si="9"/>
        <v/>
      </c>
      <c r="Y26" s="22"/>
      <c r="Z26" s="1">
        <v>23</v>
      </c>
      <c r="AA26" s="1">
        <v>1</v>
      </c>
      <c r="AB26" s="1" t="s">
        <v>38</v>
      </c>
      <c r="AC26" s="2">
        <v>44477</v>
      </c>
      <c r="AD26" s="2">
        <v>43780</v>
      </c>
      <c r="AE26" s="36">
        <v>24.44</v>
      </c>
      <c r="AF26" s="36">
        <v>23.82</v>
      </c>
      <c r="AG26" s="36">
        <v>0.62</v>
      </c>
      <c r="AJ26" s="34" t="e">
        <f t="shared" si="10"/>
        <v>#VALUE!</v>
      </c>
      <c r="AK26" s="34" t="e">
        <f t="shared" si="11"/>
        <v>#VALUE!</v>
      </c>
      <c r="AL26" s="34" t="e">
        <f t="shared" si="12"/>
        <v>#VALUE!</v>
      </c>
    </row>
    <row r="27" spans="2:38" x14ac:dyDescent="0.25">
      <c r="E27" s="25">
        <f t="shared" si="13"/>
        <v>24</v>
      </c>
      <c r="F27" s="26" t="str">
        <f t="shared" si="14"/>
        <v>12/07/2021</v>
      </c>
      <c r="G27" s="27">
        <f t="shared" si="15"/>
        <v>1</v>
      </c>
      <c r="H27" s="28">
        <f t="shared" si="0"/>
        <v>4.381150684931507E-4</v>
      </c>
      <c r="I27" s="3">
        <f t="shared" si="16"/>
        <v>0.35969099999999998</v>
      </c>
      <c r="J27" s="7">
        <f t="shared" si="1"/>
        <v>0.73546121876220405</v>
      </c>
      <c r="K27" s="3">
        <f t="shared" si="17"/>
        <v>20.399311508675808</v>
      </c>
      <c r="L27" s="30">
        <f t="shared" si="2"/>
        <v>24.51</v>
      </c>
      <c r="M27" s="29" t="str">
        <f t="shared" si="18"/>
        <v/>
      </c>
      <c r="N27" s="29" t="str">
        <f t="shared" si="22"/>
        <v/>
      </c>
      <c r="O27" s="29" t="str">
        <f t="shared" si="3"/>
        <v/>
      </c>
      <c r="P27" s="29" t="str">
        <f t="shared" si="4"/>
        <v/>
      </c>
      <c r="Q27" s="23" t="str">
        <f t="shared" si="5"/>
        <v>N</v>
      </c>
      <c r="R27" s="5" t="str">
        <f t="shared" si="19"/>
        <v/>
      </c>
      <c r="S27" s="5" t="str">
        <f t="shared" si="20"/>
        <v/>
      </c>
      <c r="T27" s="5" t="str">
        <f t="shared" si="21"/>
        <v/>
      </c>
      <c r="U27" s="4" t="str">
        <f t="shared" si="6"/>
        <v/>
      </c>
      <c r="V27" s="6" t="str">
        <f t="shared" si="7"/>
        <v/>
      </c>
      <c r="W27" s="22" t="str">
        <f t="shared" si="8"/>
        <v/>
      </c>
      <c r="X27" s="22" t="str">
        <f t="shared" si="9"/>
        <v/>
      </c>
      <c r="Y27" s="22"/>
      <c r="Z27" s="1">
        <v>24</v>
      </c>
      <c r="AA27" s="1">
        <v>1</v>
      </c>
      <c r="AB27" s="1" t="s">
        <v>38</v>
      </c>
      <c r="AC27" s="2">
        <v>44508</v>
      </c>
      <c r="AD27" s="2">
        <v>43780</v>
      </c>
      <c r="AE27" s="36">
        <v>24.37</v>
      </c>
      <c r="AF27" s="36">
        <v>24.05</v>
      </c>
      <c r="AG27" s="36">
        <v>0.32</v>
      </c>
      <c r="AJ27" s="34" t="e">
        <f t="shared" si="10"/>
        <v>#VALUE!</v>
      </c>
      <c r="AK27" s="34" t="e">
        <f t="shared" si="11"/>
        <v>#VALUE!</v>
      </c>
      <c r="AL27" s="34" t="e">
        <f t="shared" si="12"/>
        <v>#VALUE!</v>
      </c>
    </row>
    <row r="28" spans="2:38" x14ac:dyDescent="0.25">
      <c r="E28" s="25" t="str">
        <f t="shared" si="13"/>
        <v xml:space="preserve"> </v>
      </c>
      <c r="F28" s="26" t="str">
        <f t="shared" si="14"/>
        <v xml:space="preserve"> </v>
      </c>
      <c r="G28" s="27" t="str">
        <f t="shared" si="15"/>
        <v xml:space="preserve"> </v>
      </c>
      <c r="H28" s="28" t="str">
        <f t="shared" si="0"/>
        <v xml:space="preserve"> </v>
      </c>
      <c r="I28" s="3" t="str">
        <f t="shared" si="16"/>
        <v xml:space="preserve"> </v>
      </c>
      <c r="J28" s="3" t="str">
        <f t="shared" si="1"/>
        <v xml:space="preserve"> </v>
      </c>
      <c r="K28" s="3" t="str">
        <f t="shared" si="17"/>
        <v/>
      </c>
      <c r="L28" s="30" t="str">
        <f t="shared" si="2"/>
        <v/>
      </c>
      <c r="M28" s="29" t="str">
        <f t="shared" si="18"/>
        <v/>
      </c>
      <c r="N28" s="29" t="str">
        <f t="shared" si="22"/>
        <v/>
      </c>
      <c r="O28" s="29" t="str">
        <f t="shared" si="3"/>
        <v/>
      </c>
      <c r="P28" s="29" t="str">
        <f t="shared" si="4"/>
        <v/>
      </c>
      <c r="Q28" s="23" t="str">
        <f t="shared" si="5"/>
        <v/>
      </c>
      <c r="R28" s="5" t="str">
        <f t="shared" si="19"/>
        <v/>
      </c>
      <c r="S28" s="5" t="str">
        <f t="shared" si="20"/>
        <v/>
      </c>
      <c r="T28" s="5" t="str">
        <f t="shared" si="21"/>
        <v/>
      </c>
      <c r="U28" s="4" t="str">
        <f t="shared" si="6"/>
        <v xml:space="preserve"> </v>
      </c>
      <c r="V28" s="6" t="str">
        <f t="shared" si="7"/>
        <v xml:space="preserve"> </v>
      </c>
      <c r="W28" s="22" t="str">
        <f t="shared" si="8"/>
        <v/>
      </c>
      <c r="X28" s="22" t="str">
        <f t="shared" si="9"/>
        <v/>
      </c>
      <c r="Y28" s="22"/>
      <c r="AC28" s="2"/>
      <c r="AD28" s="2"/>
      <c r="AJ28" s="34"/>
      <c r="AK28" s="34"/>
      <c r="AL28" s="34"/>
    </row>
    <row r="29" spans="2:38" x14ac:dyDescent="0.25">
      <c r="E29" s="25" t="str">
        <f t="shared" si="13"/>
        <v xml:space="preserve"> </v>
      </c>
      <c r="F29" s="26" t="str">
        <f t="shared" si="14"/>
        <v xml:space="preserve"> </v>
      </c>
      <c r="G29" s="27" t="str">
        <f t="shared" si="15"/>
        <v xml:space="preserve"> </v>
      </c>
      <c r="H29" s="28" t="str">
        <f t="shared" si="0"/>
        <v xml:space="preserve"> </v>
      </c>
      <c r="I29" s="3" t="str">
        <f t="shared" si="16"/>
        <v xml:space="preserve"> </v>
      </c>
      <c r="J29" s="3" t="str">
        <f t="shared" si="1"/>
        <v xml:space="preserve"> </v>
      </c>
      <c r="K29" s="3" t="str">
        <f t="shared" si="17"/>
        <v/>
      </c>
      <c r="L29" s="30" t="str">
        <f t="shared" si="2"/>
        <v/>
      </c>
      <c r="M29" s="29" t="str">
        <f t="shared" si="18"/>
        <v/>
      </c>
      <c r="N29" s="29" t="str">
        <f t="shared" si="22"/>
        <v/>
      </c>
      <c r="O29" s="29" t="str">
        <f t="shared" si="3"/>
        <v/>
      </c>
      <c r="P29" s="29" t="str">
        <f t="shared" si="4"/>
        <v/>
      </c>
      <c r="Q29" s="23" t="str">
        <f t="shared" si="5"/>
        <v/>
      </c>
      <c r="R29" s="5" t="str">
        <f t="shared" si="19"/>
        <v/>
      </c>
      <c r="S29" s="5" t="str">
        <f t="shared" si="20"/>
        <v/>
      </c>
      <c r="T29" s="5" t="str">
        <f t="shared" si="21"/>
        <v/>
      </c>
      <c r="U29" s="4" t="str">
        <f t="shared" si="6"/>
        <v xml:space="preserve"> </v>
      </c>
      <c r="V29" s="6" t="str">
        <f t="shared" si="7"/>
        <v xml:space="preserve"> </v>
      </c>
      <c r="W29" s="22" t="str">
        <f t="shared" si="8"/>
        <v/>
      </c>
      <c r="X29" s="22" t="str">
        <f t="shared" si="9"/>
        <v/>
      </c>
      <c r="Y29" s="22"/>
      <c r="AC29" s="2"/>
      <c r="AD29" s="2"/>
      <c r="AJ29" s="34"/>
      <c r="AK29" s="34"/>
      <c r="AL29" s="34"/>
    </row>
    <row r="30" spans="2:38" x14ac:dyDescent="0.25">
      <c r="E30" s="25" t="str">
        <f t="shared" si="13"/>
        <v xml:space="preserve"> </v>
      </c>
      <c r="F30" s="26" t="str">
        <f t="shared" si="14"/>
        <v xml:space="preserve"> </v>
      </c>
      <c r="G30" s="27" t="str">
        <f t="shared" si="15"/>
        <v xml:space="preserve"> </v>
      </c>
      <c r="H30" s="28" t="str">
        <f t="shared" si="0"/>
        <v xml:space="preserve"> </v>
      </c>
      <c r="I30" s="3" t="str">
        <f t="shared" si="16"/>
        <v xml:space="preserve"> </v>
      </c>
      <c r="J30" s="3" t="str">
        <f t="shared" si="1"/>
        <v xml:space="preserve"> </v>
      </c>
      <c r="K30" s="3" t="str">
        <f t="shared" si="17"/>
        <v/>
      </c>
      <c r="L30" s="30" t="str">
        <f t="shared" si="2"/>
        <v/>
      </c>
      <c r="M30" s="29" t="str">
        <f t="shared" si="18"/>
        <v/>
      </c>
      <c r="N30" s="29" t="str">
        <f t="shared" si="22"/>
        <v/>
      </c>
      <c r="O30" s="29" t="str">
        <f t="shared" si="3"/>
        <v/>
      </c>
      <c r="P30" s="29" t="str">
        <f t="shared" si="4"/>
        <v/>
      </c>
      <c r="Q30" s="23" t="str">
        <f t="shared" si="5"/>
        <v/>
      </c>
      <c r="R30" s="5" t="str">
        <f t="shared" si="19"/>
        <v/>
      </c>
      <c r="S30" s="5" t="str">
        <f t="shared" si="20"/>
        <v/>
      </c>
      <c r="T30" s="5" t="str">
        <f t="shared" si="21"/>
        <v/>
      </c>
      <c r="U30" s="4" t="str">
        <f t="shared" si="6"/>
        <v xml:space="preserve"> </v>
      </c>
      <c r="V30" s="6" t="str">
        <f t="shared" si="7"/>
        <v xml:space="preserve"> </v>
      </c>
      <c r="W30" s="22" t="str">
        <f t="shared" si="8"/>
        <v/>
      </c>
      <c r="X30" s="22" t="str">
        <f t="shared" si="9"/>
        <v/>
      </c>
      <c r="Y30" s="22"/>
      <c r="AC30" s="2"/>
      <c r="AD30" s="2"/>
      <c r="AJ30" s="34"/>
      <c r="AK30" s="34"/>
      <c r="AL30" s="34"/>
    </row>
    <row r="31" spans="2:38" x14ac:dyDescent="0.25">
      <c r="E31" s="25" t="str">
        <f t="shared" si="13"/>
        <v xml:space="preserve"> </v>
      </c>
      <c r="F31" s="26" t="str">
        <f t="shared" si="14"/>
        <v xml:space="preserve"> </v>
      </c>
      <c r="G31" s="27" t="str">
        <f t="shared" si="15"/>
        <v xml:space="preserve"> </v>
      </c>
      <c r="H31" s="28" t="str">
        <f t="shared" si="0"/>
        <v xml:space="preserve"> </v>
      </c>
      <c r="I31" s="3" t="str">
        <f t="shared" si="16"/>
        <v xml:space="preserve"> </v>
      </c>
      <c r="J31" s="3" t="str">
        <f t="shared" si="1"/>
        <v xml:space="preserve"> </v>
      </c>
      <c r="K31" s="3" t="str">
        <f t="shared" si="17"/>
        <v/>
      </c>
      <c r="L31" s="30" t="str">
        <f t="shared" si="2"/>
        <v/>
      </c>
      <c r="M31" s="29" t="str">
        <f t="shared" si="18"/>
        <v/>
      </c>
      <c r="N31" s="29" t="str">
        <f t="shared" si="22"/>
        <v/>
      </c>
      <c r="O31" s="29" t="str">
        <f t="shared" si="3"/>
        <v/>
      </c>
      <c r="P31" s="29" t="str">
        <f t="shared" si="4"/>
        <v/>
      </c>
      <c r="Q31" s="23" t="str">
        <f t="shared" si="5"/>
        <v/>
      </c>
      <c r="R31" s="5" t="str">
        <f t="shared" si="19"/>
        <v/>
      </c>
      <c r="S31" s="5" t="str">
        <f t="shared" si="20"/>
        <v/>
      </c>
      <c r="T31" s="5" t="str">
        <f t="shared" si="21"/>
        <v/>
      </c>
      <c r="U31" s="4" t="str">
        <f t="shared" si="6"/>
        <v xml:space="preserve"> </v>
      </c>
      <c r="V31" s="6" t="str">
        <f t="shared" si="7"/>
        <v xml:space="preserve"> </v>
      </c>
      <c r="W31" s="22" t="str">
        <f t="shared" si="8"/>
        <v/>
      </c>
      <c r="X31" s="22" t="str">
        <f t="shared" si="9"/>
        <v/>
      </c>
      <c r="Y31" s="22"/>
      <c r="AC31" s="2"/>
      <c r="AD31" s="2"/>
      <c r="AJ31" s="34"/>
      <c r="AK31" s="34"/>
      <c r="AL31" s="34"/>
    </row>
    <row r="32" spans="2:38" x14ac:dyDescent="0.25">
      <c r="E32" s="25" t="str">
        <f t="shared" si="13"/>
        <v xml:space="preserve"> </v>
      </c>
      <c r="F32" s="26" t="str">
        <f t="shared" si="14"/>
        <v xml:space="preserve"> </v>
      </c>
      <c r="G32" s="27" t="str">
        <f t="shared" si="15"/>
        <v xml:space="preserve"> </v>
      </c>
      <c r="H32" s="28" t="str">
        <f t="shared" si="0"/>
        <v xml:space="preserve"> </v>
      </c>
      <c r="I32" s="3" t="str">
        <f t="shared" si="16"/>
        <v xml:space="preserve"> </v>
      </c>
      <c r="J32" s="3" t="str">
        <f t="shared" si="1"/>
        <v xml:space="preserve"> </v>
      </c>
      <c r="K32" s="3" t="str">
        <f t="shared" si="17"/>
        <v/>
      </c>
      <c r="L32" s="30" t="str">
        <f t="shared" si="2"/>
        <v/>
      </c>
      <c r="M32" s="29" t="str">
        <f t="shared" si="18"/>
        <v/>
      </c>
      <c r="N32" s="29" t="str">
        <f t="shared" si="22"/>
        <v/>
      </c>
      <c r="O32" s="29" t="str">
        <f t="shared" si="3"/>
        <v/>
      </c>
      <c r="P32" s="29" t="str">
        <f t="shared" si="4"/>
        <v/>
      </c>
      <c r="Q32" s="23" t="str">
        <f t="shared" si="5"/>
        <v/>
      </c>
      <c r="R32" s="5" t="str">
        <f t="shared" si="19"/>
        <v/>
      </c>
      <c r="S32" s="5" t="str">
        <f t="shared" si="20"/>
        <v/>
      </c>
      <c r="T32" s="5" t="str">
        <f t="shared" si="21"/>
        <v/>
      </c>
      <c r="U32" s="4" t="str">
        <f t="shared" si="6"/>
        <v xml:space="preserve"> </v>
      </c>
      <c r="V32" s="6" t="str">
        <f t="shared" si="7"/>
        <v xml:space="preserve"> </v>
      </c>
      <c r="W32" s="22" t="str">
        <f t="shared" si="8"/>
        <v/>
      </c>
      <c r="X32" s="22" t="str">
        <f t="shared" si="9"/>
        <v/>
      </c>
      <c r="Y32" s="22"/>
      <c r="AC32" s="2"/>
      <c r="AD32" s="2"/>
      <c r="AJ32" s="34"/>
      <c r="AK32" s="34"/>
      <c r="AL32" s="34"/>
    </row>
    <row r="33" spans="5:38" x14ac:dyDescent="0.25">
      <c r="E33" s="25" t="str">
        <f t="shared" si="13"/>
        <v xml:space="preserve"> </v>
      </c>
      <c r="F33" s="26" t="str">
        <f t="shared" si="14"/>
        <v xml:space="preserve"> </v>
      </c>
      <c r="G33" s="27" t="str">
        <f t="shared" si="15"/>
        <v xml:space="preserve"> </v>
      </c>
      <c r="H33" s="28" t="str">
        <f t="shared" si="0"/>
        <v xml:space="preserve"> </v>
      </c>
      <c r="I33" s="3" t="str">
        <f t="shared" si="16"/>
        <v xml:space="preserve"> </v>
      </c>
      <c r="J33" s="3" t="str">
        <f t="shared" si="1"/>
        <v xml:space="preserve"> </v>
      </c>
      <c r="K33" s="3" t="str">
        <f t="shared" si="17"/>
        <v/>
      </c>
      <c r="L33" s="30" t="str">
        <f t="shared" si="2"/>
        <v/>
      </c>
      <c r="M33" s="29" t="str">
        <f t="shared" si="18"/>
        <v/>
      </c>
      <c r="N33" s="29" t="str">
        <f t="shared" si="22"/>
        <v/>
      </c>
      <c r="O33" s="29" t="str">
        <f t="shared" si="3"/>
        <v/>
      </c>
      <c r="P33" s="29" t="str">
        <f t="shared" si="4"/>
        <v/>
      </c>
      <c r="Q33" s="23" t="str">
        <f t="shared" si="5"/>
        <v/>
      </c>
      <c r="R33" s="5" t="str">
        <f t="shared" si="19"/>
        <v/>
      </c>
      <c r="S33" s="5" t="str">
        <f t="shared" si="20"/>
        <v/>
      </c>
      <c r="T33" s="5" t="str">
        <f t="shared" si="21"/>
        <v/>
      </c>
      <c r="U33" s="4" t="str">
        <f t="shared" si="6"/>
        <v xml:space="preserve"> </v>
      </c>
      <c r="V33" s="6" t="str">
        <f t="shared" si="7"/>
        <v xml:space="preserve"> </v>
      </c>
      <c r="W33" s="22" t="str">
        <f t="shared" si="8"/>
        <v/>
      </c>
      <c r="X33" s="22" t="str">
        <f t="shared" si="9"/>
        <v/>
      </c>
      <c r="Y33" s="22"/>
      <c r="AC33" s="2"/>
      <c r="AD33" s="2"/>
      <c r="AJ33" s="34"/>
      <c r="AK33" s="34"/>
      <c r="AL33" s="34"/>
    </row>
    <row r="34" spans="5:38" x14ac:dyDescent="0.25">
      <c r="E34" s="25" t="str">
        <f t="shared" si="13"/>
        <v xml:space="preserve"> </v>
      </c>
      <c r="F34" s="26" t="str">
        <f t="shared" si="14"/>
        <v xml:space="preserve"> </v>
      </c>
      <c r="G34" s="27" t="str">
        <f t="shared" si="15"/>
        <v xml:space="preserve"> </v>
      </c>
      <c r="H34" s="28" t="str">
        <f t="shared" si="0"/>
        <v xml:space="preserve"> </v>
      </c>
      <c r="I34" s="3" t="str">
        <f t="shared" si="16"/>
        <v xml:space="preserve"> </v>
      </c>
      <c r="J34" s="3" t="str">
        <f t="shared" si="1"/>
        <v xml:space="preserve"> </v>
      </c>
      <c r="K34" s="3" t="str">
        <f t="shared" si="17"/>
        <v/>
      </c>
      <c r="L34" s="30" t="str">
        <f t="shared" si="2"/>
        <v/>
      </c>
      <c r="M34" s="29" t="str">
        <f t="shared" si="18"/>
        <v/>
      </c>
      <c r="N34" s="29" t="str">
        <f t="shared" si="22"/>
        <v/>
      </c>
      <c r="O34" s="29" t="str">
        <f t="shared" si="3"/>
        <v/>
      </c>
      <c r="P34" s="29" t="str">
        <f t="shared" si="4"/>
        <v/>
      </c>
      <c r="Q34" s="23" t="str">
        <f t="shared" si="5"/>
        <v/>
      </c>
      <c r="R34" s="5" t="str">
        <f t="shared" si="19"/>
        <v/>
      </c>
      <c r="S34" s="5" t="str">
        <f t="shared" si="20"/>
        <v/>
      </c>
      <c r="T34" s="5" t="str">
        <f t="shared" si="21"/>
        <v/>
      </c>
      <c r="U34" s="4" t="str">
        <f t="shared" si="6"/>
        <v xml:space="preserve"> </v>
      </c>
      <c r="V34" s="6" t="str">
        <f t="shared" si="7"/>
        <v xml:space="preserve"> </v>
      </c>
      <c r="W34" s="22" t="str">
        <f t="shared" si="8"/>
        <v/>
      </c>
      <c r="X34" s="22" t="str">
        <f t="shared" si="9"/>
        <v/>
      </c>
      <c r="Y34" s="22"/>
      <c r="AC34" s="2"/>
      <c r="AD34" s="2"/>
      <c r="AJ34" s="34"/>
      <c r="AK34" s="34"/>
      <c r="AL34" s="34"/>
    </row>
    <row r="35" spans="5:38" x14ac:dyDescent="0.25">
      <c r="E35" s="25" t="str">
        <f t="shared" si="13"/>
        <v xml:space="preserve"> </v>
      </c>
      <c r="F35" s="26" t="str">
        <f t="shared" si="14"/>
        <v xml:space="preserve"> </v>
      </c>
      <c r="G35" s="27" t="str">
        <f t="shared" si="15"/>
        <v xml:space="preserve"> </v>
      </c>
      <c r="H35" s="28" t="str">
        <f t="shared" si="0"/>
        <v xml:space="preserve"> </v>
      </c>
      <c r="I35" s="3" t="str">
        <f t="shared" si="16"/>
        <v xml:space="preserve"> </v>
      </c>
      <c r="J35" s="3" t="str">
        <f t="shared" si="1"/>
        <v xml:space="preserve"> </v>
      </c>
      <c r="K35" s="3" t="str">
        <f t="shared" si="17"/>
        <v/>
      </c>
      <c r="L35" s="30" t="str">
        <f t="shared" si="2"/>
        <v/>
      </c>
      <c r="M35" s="29" t="str">
        <f t="shared" si="18"/>
        <v/>
      </c>
      <c r="N35" s="29" t="str">
        <f t="shared" si="22"/>
        <v/>
      </c>
      <c r="O35" s="29" t="str">
        <f t="shared" si="3"/>
        <v/>
      </c>
      <c r="P35" s="29" t="str">
        <f t="shared" si="4"/>
        <v/>
      </c>
      <c r="Q35" s="23" t="str">
        <f t="shared" si="5"/>
        <v/>
      </c>
      <c r="R35" s="5" t="str">
        <f t="shared" si="19"/>
        <v/>
      </c>
      <c r="S35" s="5" t="str">
        <f t="shared" si="20"/>
        <v/>
      </c>
      <c r="T35" s="5" t="str">
        <f t="shared" si="21"/>
        <v/>
      </c>
      <c r="U35" s="4" t="str">
        <f t="shared" si="6"/>
        <v xml:space="preserve"> </v>
      </c>
      <c r="V35" s="6" t="str">
        <f t="shared" si="7"/>
        <v xml:space="preserve"> </v>
      </c>
      <c r="W35" s="22" t="str">
        <f t="shared" si="8"/>
        <v/>
      </c>
      <c r="X35" s="22" t="str">
        <f t="shared" si="9"/>
        <v/>
      </c>
      <c r="Y35" s="22"/>
      <c r="AC35" s="2"/>
      <c r="AD35" s="2"/>
      <c r="AJ35" s="34"/>
      <c r="AK35" s="34"/>
      <c r="AL35" s="34"/>
    </row>
    <row r="36" spans="5:38" x14ac:dyDescent="0.25">
      <c r="E36" s="25" t="str">
        <f t="shared" si="13"/>
        <v xml:space="preserve"> </v>
      </c>
      <c r="F36" s="26" t="str">
        <f t="shared" si="14"/>
        <v xml:space="preserve"> </v>
      </c>
      <c r="G36" s="27" t="str">
        <f t="shared" si="15"/>
        <v xml:space="preserve"> </v>
      </c>
      <c r="H36" s="28" t="str">
        <f t="shared" si="0"/>
        <v xml:space="preserve"> </v>
      </c>
      <c r="I36" s="3" t="str">
        <f t="shared" si="16"/>
        <v xml:space="preserve"> </v>
      </c>
      <c r="J36" s="3" t="str">
        <f t="shared" si="1"/>
        <v xml:space="preserve"> </v>
      </c>
      <c r="K36" s="3" t="str">
        <f t="shared" si="17"/>
        <v/>
      </c>
      <c r="L36" s="30" t="str">
        <f t="shared" si="2"/>
        <v/>
      </c>
      <c r="M36" s="29" t="str">
        <f t="shared" si="18"/>
        <v/>
      </c>
      <c r="N36" s="29" t="str">
        <f t="shared" si="22"/>
        <v/>
      </c>
      <c r="O36" s="29" t="str">
        <f t="shared" si="3"/>
        <v/>
      </c>
      <c r="P36" s="29" t="str">
        <f t="shared" si="4"/>
        <v/>
      </c>
      <c r="Q36" s="23" t="str">
        <f t="shared" ref="Q36:Q69" si="23">IFERROR(IF(IF(DAY(DATE(MID(F36,7,4),3,0))=29,366,365)=366,"Y","N"),"")</f>
        <v/>
      </c>
      <c r="R36" s="5" t="str">
        <f t="shared" si="19"/>
        <v/>
      </c>
      <c r="S36" s="5" t="str">
        <f t="shared" si="20"/>
        <v/>
      </c>
      <c r="T36" s="5" t="str">
        <f t="shared" si="21"/>
        <v/>
      </c>
      <c r="U36" s="4" t="str">
        <f t="shared" ref="U36:U69" si="24">IFERROR(IF(E36=" "," ",IF($E36&lt;=$C$16,SUM(S36-R36)*$C$14/IF(DAY(DATE(MID(S36,7,4),3,0))=29,366,365),SUM(S36-R36)*$C$15/IF(DAY(DATE(MID(S36,7,4),3,0))=29,366,365))),"")</f>
        <v xml:space="preserve"> </v>
      </c>
      <c r="V36" s="6" t="str">
        <f t="shared" ref="V36:V69" si="25">IFERROR(IF(E36=" "," ",IF($E36&lt;=$C$16,SUM(T36-S36)*$C$14/IF(DAY(DATE(MID(T36,7,4),3,0))=29,366,365),SUM(T36-S36)*$C$15/IF(DAY(DATE(MID(T36,7,4),3,0))=29,366,365))),"")</f>
        <v xml:space="preserve"> </v>
      </c>
      <c r="W36" s="22" t="str">
        <f t="shared" ref="W36:W69" si="26">IFERROR(TRUNC(U36*M36,2),"")</f>
        <v/>
      </c>
      <c r="X36" s="22" t="str">
        <f t="shared" ref="X36:X69" si="27">IFERROR(TRUNC(V36*M36,2),"")</f>
        <v/>
      </c>
      <c r="Y36" s="22"/>
      <c r="AC36" s="2"/>
      <c r="AD36" s="2"/>
      <c r="AJ36" s="34"/>
      <c r="AK36" s="34"/>
      <c r="AL36" s="34"/>
    </row>
    <row r="37" spans="5:38" x14ac:dyDescent="0.25">
      <c r="E37" s="25" t="str">
        <f t="shared" si="13"/>
        <v xml:space="preserve"> </v>
      </c>
      <c r="F37" s="26" t="str">
        <f t="shared" si="14"/>
        <v xml:space="preserve"> </v>
      </c>
      <c r="G37" s="27" t="str">
        <f t="shared" si="15"/>
        <v xml:space="preserve"> </v>
      </c>
      <c r="H37" s="28" t="str">
        <f t="shared" si="0"/>
        <v xml:space="preserve"> </v>
      </c>
      <c r="I37" s="3" t="str">
        <f t="shared" si="16"/>
        <v xml:space="preserve"> </v>
      </c>
      <c r="J37" s="3" t="str">
        <f t="shared" si="1"/>
        <v xml:space="preserve"> </v>
      </c>
      <c r="K37" s="3" t="str">
        <f t="shared" si="17"/>
        <v/>
      </c>
      <c r="L37" s="30" t="str">
        <f t="shared" si="2"/>
        <v/>
      </c>
      <c r="M37" s="29" t="str">
        <f t="shared" si="18"/>
        <v/>
      </c>
      <c r="N37" s="29" t="str">
        <f t="shared" si="22"/>
        <v/>
      </c>
      <c r="O37" s="29" t="str">
        <f t="shared" si="3"/>
        <v/>
      </c>
      <c r="P37" s="29" t="str">
        <f t="shared" si="4"/>
        <v/>
      </c>
      <c r="Q37" s="23" t="str">
        <f t="shared" si="23"/>
        <v/>
      </c>
      <c r="R37" s="5" t="str">
        <f t="shared" ref="R37:R68" si="28">TEXT(IF(AND(Q36="N",Q37="Y"),EDATE($F$4,E37-2),IF(AND(Q36="Y",Q37="N"),EDATE($F$4,E37-2),"")),"DD/MM/YYYY")</f>
        <v/>
      </c>
      <c r="S37" s="5" t="str">
        <f t="shared" si="20"/>
        <v/>
      </c>
      <c r="T37" s="5" t="str">
        <f t="shared" si="21"/>
        <v/>
      </c>
      <c r="U37" s="4" t="str">
        <f t="shared" si="24"/>
        <v xml:space="preserve"> </v>
      </c>
      <c r="V37" s="6" t="str">
        <f t="shared" si="25"/>
        <v xml:space="preserve"> </v>
      </c>
      <c r="W37" s="22" t="str">
        <f t="shared" si="26"/>
        <v/>
      </c>
      <c r="X37" s="22" t="str">
        <f t="shared" si="27"/>
        <v/>
      </c>
      <c r="Y37" s="22"/>
      <c r="AC37" s="2"/>
      <c r="AD37" s="2"/>
      <c r="AJ37" s="34"/>
      <c r="AK37" s="34"/>
      <c r="AL37" s="34"/>
    </row>
    <row r="38" spans="5:38" x14ac:dyDescent="0.25">
      <c r="E38" s="25" t="str">
        <f t="shared" si="13"/>
        <v xml:space="preserve"> </v>
      </c>
      <c r="F38" s="26" t="str">
        <f t="shared" si="14"/>
        <v xml:space="preserve"> </v>
      </c>
      <c r="G38" s="27" t="str">
        <f t="shared" si="15"/>
        <v xml:space="preserve"> </v>
      </c>
      <c r="H38" s="28" t="str">
        <f t="shared" si="0"/>
        <v xml:space="preserve"> </v>
      </c>
      <c r="I38" s="3" t="str">
        <f t="shared" si="16"/>
        <v xml:space="preserve"> </v>
      </c>
      <c r="J38" s="3" t="str">
        <f t="shared" si="1"/>
        <v xml:space="preserve"> </v>
      </c>
      <c r="K38" s="3" t="str">
        <f t="shared" si="17"/>
        <v/>
      </c>
      <c r="L38" s="30" t="str">
        <f t="shared" si="2"/>
        <v/>
      </c>
      <c r="M38" s="29" t="str">
        <f t="shared" si="18"/>
        <v/>
      </c>
      <c r="N38" s="29" t="str">
        <f t="shared" si="22"/>
        <v/>
      </c>
      <c r="O38" s="29" t="str">
        <f t="shared" si="3"/>
        <v/>
      </c>
      <c r="P38" s="29" t="str">
        <f t="shared" si="4"/>
        <v/>
      </c>
      <c r="Q38" s="23" t="str">
        <f t="shared" si="23"/>
        <v/>
      </c>
      <c r="R38" s="5" t="str">
        <f t="shared" si="28"/>
        <v/>
      </c>
      <c r="S38" s="5" t="str">
        <f t="shared" si="20"/>
        <v/>
      </c>
      <c r="T38" s="5" t="str">
        <f t="shared" si="21"/>
        <v/>
      </c>
      <c r="U38" s="4" t="str">
        <f t="shared" si="24"/>
        <v xml:space="preserve"> </v>
      </c>
      <c r="V38" s="6" t="str">
        <f t="shared" si="25"/>
        <v xml:space="preserve"> </v>
      </c>
      <c r="W38" s="22" t="str">
        <f t="shared" si="26"/>
        <v/>
      </c>
      <c r="X38" s="22" t="str">
        <f t="shared" si="27"/>
        <v/>
      </c>
      <c r="Y38" s="22"/>
      <c r="AC38" s="2"/>
      <c r="AD38" s="2"/>
      <c r="AJ38" s="34"/>
      <c r="AK38" s="34"/>
      <c r="AL38" s="34"/>
    </row>
    <row r="39" spans="5:38" x14ac:dyDescent="0.25">
      <c r="E39" s="25" t="str">
        <f t="shared" si="13"/>
        <v xml:space="preserve"> </v>
      </c>
      <c r="F39" s="26" t="str">
        <f t="shared" si="14"/>
        <v xml:space="preserve"> </v>
      </c>
      <c r="G39" s="27" t="str">
        <f t="shared" si="15"/>
        <v xml:space="preserve"> </v>
      </c>
      <c r="H39" s="28" t="str">
        <f t="shared" si="0"/>
        <v xml:space="preserve"> </v>
      </c>
      <c r="I39" s="3" t="str">
        <f t="shared" si="16"/>
        <v xml:space="preserve"> </v>
      </c>
      <c r="J39" s="3" t="str">
        <f t="shared" si="1"/>
        <v xml:space="preserve"> </v>
      </c>
      <c r="K39" s="3" t="str">
        <f t="shared" si="17"/>
        <v/>
      </c>
      <c r="L39" s="30" t="str">
        <f t="shared" si="2"/>
        <v/>
      </c>
      <c r="M39" s="29" t="str">
        <f t="shared" si="18"/>
        <v/>
      </c>
      <c r="N39" s="29" t="str">
        <f t="shared" si="22"/>
        <v/>
      </c>
      <c r="O39" s="29" t="str">
        <f t="shared" si="3"/>
        <v/>
      </c>
      <c r="P39" s="29" t="str">
        <f t="shared" si="4"/>
        <v/>
      </c>
      <c r="Q39" s="23" t="str">
        <f t="shared" si="23"/>
        <v/>
      </c>
      <c r="R39" s="5" t="str">
        <f t="shared" si="28"/>
        <v/>
      </c>
      <c r="S39" s="5" t="str">
        <f t="shared" si="20"/>
        <v/>
      </c>
      <c r="T39" s="5" t="str">
        <f t="shared" si="21"/>
        <v/>
      </c>
      <c r="U39" s="4" t="str">
        <f t="shared" si="24"/>
        <v xml:space="preserve"> </v>
      </c>
      <c r="V39" s="6" t="str">
        <f t="shared" si="25"/>
        <v xml:space="preserve"> </v>
      </c>
      <c r="W39" s="22" t="str">
        <f t="shared" si="26"/>
        <v/>
      </c>
      <c r="X39" s="22" t="str">
        <f t="shared" si="27"/>
        <v/>
      </c>
      <c r="Y39" s="22"/>
      <c r="AC39" s="2"/>
      <c r="AD39" s="2"/>
      <c r="AJ39" s="34"/>
      <c r="AK39" s="34"/>
      <c r="AL39" s="34"/>
    </row>
    <row r="40" spans="5:38" x14ac:dyDescent="0.25">
      <c r="E40" s="25" t="str">
        <f t="shared" si="13"/>
        <v xml:space="preserve"> </v>
      </c>
      <c r="F40" s="26" t="str">
        <f t="shared" si="14"/>
        <v xml:space="preserve"> </v>
      </c>
      <c r="G40" s="27" t="str">
        <f t="shared" si="15"/>
        <v xml:space="preserve"> </v>
      </c>
      <c r="H40" s="28" t="str">
        <f t="shared" si="0"/>
        <v xml:space="preserve"> </v>
      </c>
      <c r="I40" s="3" t="str">
        <f t="shared" si="16"/>
        <v xml:space="preserve"> </v>
      </c>
      <c r="J40" s="3" t="str">
        <f t="shared" si="1"/>
        <v xml:space="preserve"> </v>
      </c>
      <c r="K40" s="3" t="str">
        <f t="shared" si="17"/>
        <v/>
      </c>
      <c r="L40" s="30" t="str">
        <f t="shared" si="2"/>
        <v/>
      </c>
      <c r="M40" s="29" t="str">
        <f t="shared" si="18"/>
        <v/>
      </c>
      <c r="N40" s="29" t="str">
        <f t="shared" si="22"/>
        <v/>
      </c>
      <c r="O40" s="29" t="str">
        <f t="shared" si="3"/>
        <v/>
      </c>
      <c r="P40" s="29" t="str">
        <f t="shared" si="4"/>
        <v/>
      </c>
      <c r="Q40" s="23" t="str">
        <f t="shared" si="23"/>
        <v/>
      </c>
      <c r="R40" s="5" t="str">
        <f t="shared" si="28"/>
        <v/>
      </c>
      <c r="S40" s="5" t="str">
        <f t="shared" si="20"/>
        <v/>
      </c>
      <c r="T40" s="5" t="str">
        <f t="shared" si="21"/>
        <v/>
      </c>
      <c r="U40" s="4" t="str">
        <f t="shared" si="24"/>
        <v xml:space="preserve"> </v>
      </c>
      <c r="V40" s="6" t="str">
        <f t="shared" si="25"/>
        <v xml:space="preserve"> </v>
      </c>
      <c r="W40" s="22" t="str">
        <f t="shared" si="26"/>
        <v/>
      </c>
      <c r="X40" s="22" t="str">
        <f t="shared" si="27"/>
        <v/>
      </c>
      <c r="Y40" s="22"/>
      <c r="AC40" s="2"/>
      <c r="AD40" s="2"/>
      <c r="AJ40" s="34"/>
      <c r="AK40" s="34"/>
      <c r="AL40" s="34"/>
    </row>
    <row r="41" spans="5:38" x14ac:dyDescent="0.25">
      <c r="E41" s="25" t="str">
        <f t="shared" si="13"/>
        <v xml:space="preserve"> </v>
      </c>
      <c r="F41" s="26" t="str">
        <f t="shared" si="14"/>
        <v xml:space="preserve"> </v>
      </c>
      <c r="G41" s="27" t="str">
        <f t="shared" si="15"/>
        <v xml:space="preserve"> </v>
      </c>
      <c r="H41" s="28" t="str">
        <f t="shared" si="0"/>
        <v xml:space="preserve"> </v>
      </c>
      <c r="I41" s="3" t="str">
        <f t="shared" si="16"/>
        <v xml:space="preserve"> </v>
      </c>
      <c r="J41" s="3" t="str">
        <f t="shared" si="1"/>
        <v xml:space="preserve"> </v>
      </c>
      <c r="K41" s="3" t="str">
        <f t="shared" si="17"/>
        <v/>
      </c>
      <c r="L41" s="30" t="str">
        <f t="shared" si="2"/>
        <v/>
      </c>
      <c r="M41" s="29" t="str">
        <f t="shared" si="18"/>
        <v/>
      </c>
      <c r="N41" s="29" t="str">
        <f t="shared" si="22"/>
        <v/>
      </c>
      <c r="O41" s="29" t="str">
        <f t="shared" si="3"/>
        <v/>
      </c>
      <c r="P41" s="29" t="str">
        <f t="shared" si="4"/>
        <v/>
      </c>
      <c r="Q41" s="23" t="str">
        <f t="shared" si="23"/>
        <v/>
      </c>
      <c r="R41" s="5" t="str">
        <f t="shared" si="28"/>
        <v/>
      </c>
      <c r="S41" s="5" t="str">
        <f t="shared" si="20"/>
        <v/>
      </c>
      <c r="T41" s="5" t="str">
        <f t="shared" si="21"/>
        <v/>
      </c>
      <c r="U41" s="4" t="str">
        <f t="shared" si="24"/>
        <v xml:space="preserve"> </v>
      </c>
      <c r="V41" s="6" t="str">
        <f t="shared" si="25"/>
        <v xml:space="preserve"> </v>
      </c>
      <c r="W41" s="22" t="str">
        <f t="shared" si="26"/>
        <v/>
      </c>
      <c r="X41" s="22" t="str">
        <f t="shared" si="27"/>
        <v/>
      </c>
      <c r="Y41" s="22"/>
      <c r="AC41" s="2"/>
      <c r="AD41" s="2"/>
      <c r="AJ41" s="34"/>
      <c r="AK41" s="34"/>
      <c r="AL41" s="34"/>
    </row>
    <row r="42" spans="5:38" x14ac:dyDescent="0.25">
      <c r="E42" s="25" t="str">
        <f t="shared" si="13"/>
        <v xml:space="preserve"> </v>
      </c>
      <c r="F42" s="26" t="str">
        <f t="shared" si="14"/>
        <v xml:space="preserve"> </v>
      </c>
      <c r="G42" s="27" t="str">
        <f t="shared" si="15"/>
        <v xml:space="preserve"> </v>
      </c>
      <c r="H42" s="28" t="str">
        <f t="shared" si="0"/>
        <v xml:space="preserve"> </v>
      </c>
      <c r="I42" s="3" t="str">
        <f t="shared" si="16"/>
        <v xml:space="preserve"> </v>
      </c>
      <c r="J42" s="3" t="str">
        <f t="shared" si="1"/>
        <v xml:space="preserve"> </v>
      </c>
      <c r="K42" s="3" t="str">
        <f t="shared" si="17"/>
        <v/>
      </c>
      <c r="L42" s="30" t="str">
        <f t="shared" si="2"/>
        <v/>
      </c>
      <c r="M42" s="29" t="str">
        <f t="shared" si="18"/>
        <v/>
      </c>
      <c r="N42" s="29" t="str">
        <f t="shared" si="22"/>
        <v/>
      </c>
      <c r="O42" s="29" t="str">
        <f t="shared" si="3"/>
        <v/>
      </c>
      <c r="P42" s="29" t="str">
        <f t="shared" si="4"/>
        <v/>
      </c>
      <c r="Q42" s="23" t="str">
        <f t="shared" si="23"/>
        <v/>
      </c>
      <c r="R42" s="5" t="str">
        <f t="shared" si="28"/>
        <v/>
      </c>
      <c r="S42" s="5" t="str">
        <f t="shared" si="20"/>
        <v/>
      </c>
      <c r="T42" s="5" t="str">
        <f t="shared" si="21"/>
        <v/>
      </c>
      <c r="U42" s="4" t="str">
        <f t="shared" si="24"/>
        <v xml:space="preserve"> </v>
      </c>
      <c r="V42" s="6" t="str">
        <f t="shared" si="25"/>
        <v xml:space="preserve"> </v>
      </c>
      <c r="W42" s="22" t="str">
        <f t="shared" si="26"/>
        <v/>
      </c>
      <c r="X42" s="22" t="str">
        <f t="shared" si="27"/>
        <v/>
      </c>
      <c r="Y42" s="22"/>
      <c r="AC42" s="2"/>
      <c r="AD42" s="2"/>
      <c r="AJ42" s="34"/>
      <c r="AK42" s="34"/>
      <c r="AL42" s="34"/>
    </row>
    <row r="43" spans="5:38" x14ac:dyDescent="0.25">
      <c r="E43" s="25" t="str">
        <f t="shared" si="13"/>
        <v xml:space="preserve"> </v>
      </c>
      <c r="F43" s="26" t="str">
        <f t="shared" si="14"/>
        <v xml:space="preserve"> </v>
      </c>
      <c r="G43" s="27" t="str">
        <f t="shared" si="15"/>
        <v xml:space="preserve"> </v>
      </c>
      <c r="H43" s="28" t="str">
        <f t="shared" si="0"/>
        <v xml:space="preserve"> </v>
      </c>
      <c r="I43" s="3" t="str">
        <f t="shared" si="16"/>
        <v xml:space="preserve"> </v>
      </c>
      <c r="J43" s="3" t="str">
        <f t="shared" si="1"/>
        <v xml:space="preserve"> </v>
      </c>
      <c r="K43" s="3" t="str">
        <f t="shared" si="17"/>
        <v/>
      </c>
      <c r="L43" s="30" t="str">
        <f t="shared" si="2"/>
        <v/>
      </c>
      <c r="M43" s="29" t="str">
        <f t="shared" si="18"/>
        <v/>
      </c>
      <c r="N43" s="29" t="str">
        <f t="shared" si="22"/>
        <v/>
      </c>
      <c r="O43" s="29" t="str">
        <f t="shared" si="3"/>
        <v/>
      </c>
      <c r="P43" s="29" t="str">
        <f t="shared" si="4"/>
        <v/>
      </c>
      <c r="Q43" s="23" t="str">
        <f t="shared" si="23"/>
        <v/>
      </c>
      <c r="R43" s="5" t="str">
        <f t="shared" si="28"/>
        <v/>
      </c>
      <c r="S43" s="5" t="str">
        <f t="shared" si="20"/>
        <v/>
      </c>
      <c r="T43" s="5" t="str">
        <f t="shared" si="21"/>
        <v/>
      </c>
      <c r="U43" s="4" t="str">
        <f t="shared" si="24"/>
        <v xml:space="preserve"> </v>
      </c>
      <c r="V43" s="6" t="str">
        <f t="shared" si="25"/>
        <v xml:space="preserve"> </v>
      </c>
      <c r="W43" s="22" t="str">
        <f t="shared" si="26"/>
        <v/>
      </c>
      <c r="X43" s="22" t="str">
        <f t="shared" si="27"/>
        <v/>
      </c>
      <c r="Y43" s="22"/>
      <c r="AC43" s="2"/>
      <c r="AD43" s="2"/>
      <c r="AJ43" s="34"/>
      <c r="AK43" s="34"/>
      <c r="AL43" s="34"/>
    </row>
    <row r="44" spans="5:38" x14ac:dyDescent="0.25">
      <c r="E44" s="25" t="str">
        <f t="shared" si="13"/>
        <v xml:space="preserve"> </v>
      </c>
      <c r="F44" s="26" t="str">
        <f t="shared" si="14"/>
        <v xml:space="preserve"> </v>
      </c>
      <c r="G44" s="27" t="str">
        <f t="shared" si="15"/>
        <v xml:space="preserve"> </v>
      </c>
      <c r="H44" s="28" t="str">
        <f t="shared" si="0"/>
        <v xml:space="preserve"> </v>
      </c>
      <c r="I44" s="3" t="str">
        <f t="shared" si="16"/>
        <v xml:space="preserve"> </v>
      </c>
      <c r="J44" s="3" t="str">
        <f t="shared" si="1"/>
        <v xml:space="preserve"> </v>
      </c>
      <c r="K44" s="3" t="str">
        <f t="shared" si="17"/>
        <v/>
      </c>
      <c r="L44" s="30" t="str">
        <f t="shared" si="2"/>
        <v/>
      </c>
      <c r="M44" s="29" t="str">
        <f t="shared" si="18"/>
        <v/>
      </c>
      <c r="N44" s="29" t="str">
        <f t="shared" si="22"/>
        <v/>
      </c>
      <c r="O44" s="29" t="str">
        <f t="shared" si="3"/>
        <v/>
      </c>
      <c r="P44" s="29" t="str">
        <f t="shared" si="4"/>
        <v/>
      </c>
      <c r="Q44" s="23" t="str">
        <f t="shared" si="23"/>
        <v/>
      </c>
      <c r="R44" s="5" t="str">
        <f t="shared" si="28"/>
        <v/>
      </c>
      <c r="S44" s="5" t="str">
        <f t="shared" si="20"/>
        <v/>
      </c>
      <c r="T44" s="5" t="str">
        <f t="shared" si="21"/>
        <v/>
      </c>
      <c r="U44" s="4" t="str">
        <f t="shared" si="24"/>
        <v xml:space="preserve"> </v>
      </c>
      <c r="V44" s="6" t="str">
        <f t="shared" si="25"/>
        <v xml:space="preserve"> </v>
      </c>
      <c r="W44" s="22" t="str">
        <f t="shared" si="26"/>
        <v/>
      </c>
      <c r="X44" s="22" t="str">
        <f t="shared" si="27"/>
        <v/>
      </c>
      <c r="Y44" s="22"/>
      <c r="AC44" s="2"/>
      <c r="AD44" s="2"/>
      <c r="AJ44" s="34"/>
      <c r="AK44" s="34"/>
      <c r="AL44" s="34"/>
    </row>
    <row r="45" spans="5:38" x14ac:dyDescent="0.25">
      <c r="E45" s="25" t="str">
        <f t="shared" si="13"/>
        <v xml:space="preserve"> </v>
      </c>
      <c r="F45" s="26" t="str">
        <f t="shared" si="14"/>
        <v xml:space="preserve"> </v>
      </c>
      <c r="G45" s="27" t="str">
        <f t="shared" si="15"/>
        <v xml:space="preserve"> </v>
      </c>
      <c r="H45" s="28" t="str">
        <f t="shared" si="0"/>
        <v xml:space="preserve"> </v>
      </c>
      <c r="I45" s="3" t="str">
        <f t="shared" si="16"/>
        <v xml:space="preserve"> </v>
      </c>
      <c r="J45" s="3" t="str">
        <f t="shared" si="1"/>
        <v xml:space="preserve"> </v>
      </c>
      <c r="K45" s="3" t="str">
        <f t="shared" si="17"/>
        <v/>
      </c>
      <c r="L45" s="30" t="str">
        <f t="shared" si="2"/>
        <v/>
      </c>
      <c r="M45" s="29" t="str">
        <f t="shared" si="18"/>
        <v/>
      </c>
      <c r="N45" s="29" t="str">
        <f t="shared" si="22"/>
        <v/>
      </c>
      <c r="O45" s="29" t="str">
        <f t="shared" si="3"/>
        <v/>
      </c>
      <c r="P45" s="29" t="str">
        <f t="shared" si="4"/>
        <v/>
      </c>
      <c r="Q45" s="23" t="str">
        <f t="shared" si="23"/>
        <v/>
      </c>
      <c r="R45" s="5" t="str">
        <f t="shared" si="28"/>
        <v/>
      </c>
      <c r="S45" s="5" t="str">
        <f t="shared" si="20"/>
        <v/>
      </c>
      <c r="T45" s="5" t="str">
        <f t="shared" si="21"/>
        <v/>
      </c>
      <c r="U45" s="4" t="str">
        <f t="shared" si="24"/>
        <v xml:space="preserve"> </v>
      </c>
      <c r="V45" s="6" t="str">
        <f t="shared" si="25"/>
        <v xml:space="preserve"> </v>
      </c>
      <c r="W45" s="22" t="str">
        <f t="shared" si="26"/>
        <v/>
      </c>
      <c r="X45" s="22" t="str">
        <f t="shared" si="27"/>
        <v/>
      </c>
      <c r="Y45" s="22"/>
      <c r="AC45" s="2"/>
      <c r="AD45" s="2"/>
      <c r="AJ45" s="34"/>
      <c r="AK45" s="34"/>
      <c r="AL45" s="34"/>
    </row>
    <row r="46" spans="5:38" x14ac:dyDescent="0.25">
      <c r="E46" s="25" t="str">
        <f t="shared" si="13"/>
        <v xml:space="preserve"> </v>
      </c>
      <c r="F46" s="26" t="str">
        <f t="shared" si="14"/>
        <v xml:space="preserve"> </v>
      </c>
      <c r="G46" s="27" t="str">
        <f t="shared" si="15"/>
        <v xml:space="preserve"> </v>
      </c>
      <c r="H46" s="28" t="str">
        <f t="shared" si="0"/>
        <v xml:space="preserve"> </v>
      </c>
      <c r="I46" s="3" t="str">
        <f t="shared" si="16"/>
        <v xml:space="preserve"> </v>
      </c>
      <c r="J46" s="3" t="str">
        <f t="shared" si="1"/>
        <v xml:space="preserve"> </v>
      </c>
      <c r="K46" s="3" t="str">
        <f t="shared" si="17"/>
        <v/>
      </c>
      <c r="L46" s="30" t="str">
        <f t="shared" si="2"/>
        <v/>
      </c>
      <c r="M46" s="29" t="str">
        <f t="shared" si="18"/>
        <v/>
      </c>
      <c r="N46" s="29" t="str">
        <f t="shared" si="22"/>
        <v/>
      </c>
      <c r="O46" s="29" t="str">
        <f t="shared" si="3"/>
        <v/>
      </c>
      <c r="P46" s="29" t="str">
        <f t="shared" si="4"/>
        <v/>
      </c>
      <c r="Q46" s="23" t="str">
        <f t="shared" si="23"/>
        <v/>
      </c>
      <c r="R46" s="5" t="str">
        <f t="shared" si="28"/>
        <v/>
      </c>
      <c r="S46" s="5" t="str">
        <f t="shared" si="20"/>
        <v/>
      </c>
      <c r="T46" s="5" t="str">
        <f t="shared" si="21"/>
        <v/>
      </c>
      <c r="U46" s="4" t="str">
        <f t="shared" si="24"/>
        <v xml:space="preserve"> </v>
      </c>
      <c r="V46" s="6" t="str">
        <f t="shared" si="25"/>
        <v xml:space="preserve"> </v>
      </c>
      <c r="W46" s="22" t="str">
        <f t="shared" si="26"/>
        <v/>
      </c>
      <c r="X46" s="22" t="str">
        <f t="shared" si="27"/>
        <v/>
      </c>
      <c r="Y46" s="22"/>
      <c r="AC46" s="2"/>
      <c r="AD46" s="2"/>
      <c r="AJ46" s="34"/>
      <c r="AK46" s="34"/>
      <c r="AL46" s="34"/>
    </row>
    <row r="47" spans="5:38" x14ac:dyDescent="0.25">
      <c r="E47" s="25" t="str">
        <f t="shared" si="13"/>
        <v xml:space="preserve"> </v>
      </c>
      <c r="F47" s="26" t="str">
        <f t="shared" si="14"/>
        <v xml:space="preserve"> </v>
      </c>
      <c r="G47" s="27" t="str">
        <f t="shared" si="15"/>
        <v xml:space="preserve"> </v>
      </c>
      <c r="H47" s="28" t="str">
        <f t="shared" si="0"/>
        <v xml:space="preserve"> </v>
      </c>
      <c r="I47" s="3" t="str">
        <f t="shared" si="16"/>
        <v xml:space="preserve"> </v>
      </c>
      <c r="J47" s="3" t="str">
        <f t="shared" si="1"/>
        <v xml:space="preserve"> </v>
      </c>
      <c r="K47" s="3" t="str">
        <f t="shared" si="17"/>
        <v/>
      </c>
      <c r="L47" s="30" t="str">
        <f t="shared" si="2"/>
        <v/>
      </c>
      <c r="M47" s="29" t="str">
        <f t="shared" si="18"/>
        <v/>
      </c>
      <c r="N47" s="29" t="str">
        <f t="shared" si="22"/>
        <v/>
      </c>
      <c r="O47" s="29" t="str">
        <f t="shared" si="3"/>
        <v/>
      </c>
      <c r="P47" s="29" t="str">
        <f t="shared" si="4"/>
        <v/>
      </c>
      <c r="Q47" s="23" t="str">
        <f t="shared" si="23"/>
        <v/>
      </c>
      <c r="R47" s="5" t="str">
        <f t="shared" si="28"/>
        <v/>
      </c>
      <c r="S47" s="5" t="str">
        <f t="shared" si="20"/>
        <v/>
      </c>
      <c r="T47" s="5" t="str">
        <f t="shared" si="21"/>
        <v/>
      </c>
      <c r="U47" s="4" t="str">
        <f t="shared" si="24"/>
        <v xml:space="preserve"> </v>
      </c>
      <c r="V47" s="6" t="str">
        <f t="shared" si="25"/>
        <v xml:space="preserve"> </v>
      </c>
      <c r="W47" s="22" t="str">
        <f t="shared" si="26"/>
        <v/>
      </c>
      <c r="X47" s="22" t="str">
        <f t="shared" si="27"/>
        <v/>
      </c>
      <c r="Y47" s="22"/>
      <c r="AC47" s="2"/>
      <c r="AD47" s="2"/>
      <c r="AJ47" s="34"/>
      <c r="AK47" s="34"/>
      <c r="AL47" s="34"/>
    </row>
    <row r="48" spans="5:38" x14ac:dyDescent="0.25">
      <c r="E48" s="25" t="str">
        <f t="shared" si="13"/>
        <v xml:space="preserve"> </v>
      </c>
      <c r="F48" s="26" t="str">
        <f t="shared" si="14"/>
        <v xml:space="preserve"> </v>
      </c>
      <c r="G48" s="27" t="str">
        <f t="shared" si="15"/>
        <v xml:space="preserve"> </v>
      </c>
      <c r="H48" s="28" t="str">
        <f t="shared" si="0"/>
        <v xml:space="preserve"> </v>
      </c>
      <c r="I48" s="3" t="str">
        <f t="shared" si="16"/>
        <v xml:space="preserve"> </v>
      </c>
      <c r="J48" s="3" t="str">
        <f t="shared" si="1"/>
        <v xml:space="preserve"> </v>
      </c>
      <c r="K48" s="3" t="str">
        <f t="shared" si="17"/>
        <v/>
      </c>
      <c r="L48" s="30" t="str">
        <f t="shared" si="2"/>
        <v/>
      </c>
      <c r="M48" s="29" t="str">
        <f t="shared" si="18"/>
        <v/>
      </c>
      <c r="N48" s="29" t="str">
        <f t="shared" si="22"/>
        <v/>
      </c>
      <c r="O48" s="29" t="str">
        <f t="shared" si="3"/>
        <v/>
      </c>
      <c r="P48" s="29" t="str">
        <f t="shared" si="4"/>
        <v/>
      </c>
      <c r="Q48" s="23" t="str">
        <f t="shared" si="23"/>
        <v/>
      </c>
      <c r="R48" s="5" t="str">
        <f t="shared" si="28"/>
        <v/>
      </c>
      <c r="S48" s="5" t="str">
        <f t="shared" si="20"/>
        <v/>
      </c>
      <c r="T48" s="5" t="str">
        <f t="shared" si="21"/>
        <v/>
      </c>
      <c r="U48" s="4" t="str">
        <f t="shared" si="24"/>
        <v xml:space="preserve"> </v>
      </c>
      <c r="V48" s="6" t="str">
        <f t="shared" si="25"/>
        <v xml:space="preserve"> </v>
      </c>
      <c r="W48" s="22" t="str">
        <f t="shared" si="26"/>
        <v/>
      </c>
      <c r="X48" s="22" t="str">
        <f t="shared" si="27"/>
        <v/>
      </c>
      <c r="Y48" s="22"/>
      <c r="AC48" s="2"/>
      <c r="AD48" s="2"/>
      <c r="AJ48" s="34"/>
      <c r="AK48" s="34"/>
      <c r="AL48" s="34"/>
    </row>
    <row r="49" spans="5:38" x14ac:dyDescent="0.25">
      <c r="E49" s="25" t="str">
        <f t="shared" si="13"/>
        <v xml:space="preserve"> </v>
      </c>
      <c r="F49" s="26" t="str">
        <f t="shared" si="14"/>
        <v xml:space="preserve"> </v>
      </c>
      <c r="G49" s="27" t="str">
        <f t="shared" si="15"/>
        <v xml:space="preserve"> </v>
      </c>
      <c r="H49" s="28" t="str">
        <f t="shared" si="0"/>
        <v xml:space="preserve"> </v>
      </c>
      <c r="I49" s="3" t="str">
        <f t="shared" si="16"/>
        <v xml:space="preserve"> </v>
      </c>
      <c r="J49" s="3" t="str">
        <f t="shared" si="1"/>
        <v xml:space="preserve"> </v>
      </c>
      <c r="K49" s="3" t="str">
        <f t="shared" si="17"/>
        <v/>
      </c>
      <c r="L49" s="30" t="str">
        <f t="shared" si="2"/>
        <v/>
      </c>
      <c r="M49" s="29" t="str">
        <f t="shared" si="18"/>
        <v/>
      </c>
      <c r="N49" s="29" t="str">
        <f t="shared" si="22"/>
        <v/>
      </c>
      <c r="O49" s="29" t="str">
        <f t="shared" si="3"/>
        <v/>
      </c>
      <c r="P49" s="29" t="str">
        <f t="shared" si="4"/>
        <v/>
      </c>
      <c r="Q49" s="23" t="str">
        <f t="shared" si="23"/>
        <v/>
      </c>
      <c r="R49" s="5" t="str">
        <f t="shared" si="28"/>
        <v/>
      </c>
      <c r="S49" s="5" t="str">
        <f t="shared" si="20"/>
        <v/>
      </c>
      <c r="T49" s="5" t="str">
        <f t="shared" si="21"/>
        <v/>
      </c>
      <c r="U49" s="4" t="str">
        <f t="shared" si="24"/>
        <v xml:space="preserve"> </v>
      </c>
      <c r="V49" s="6" t="str">
        <f t="shared" si="25"/>
        <v xml:space="preserve"> </v>
      </c>
      <c r="W49" s="22" t="str">
        <f t="shared" si="26"/>
        <v/>
      </c>
      <c r="X49" s="22" t="str">
        <f t="shared" si="27"/>
        <v/>
      </c>
      <c r="Y49" s="22"/>
      <c r="AC49" s="2"/>
      <c r="AD49" s="2"/>
      <c r="AJ49" s="34"/>
      <c r="AK49" s="34"/>
      <c r="AL49" s="34"/>
    </row>
    <row r="50" spans="5:38" x14ac:dyDescent="0.25">
      <c r="E50" s="25" t="str">
        <f t="shared" si="13"/>
        <v xml:space="preserve"> </v>
      </c>
      <c r="F50" s="26" t="str">
        <f t="shared" si="14"/>
        <v xml:space="preserve"> </v>
      </c>
      <c r="G50" s="27" t="str">
        <f t="shared" si="15"/>
        <v xml:space="preserve"> </v>
      </c>
      <c r="H50" s="28" t="str">
        <f t="shared" si="0"/>
        <v xml:space="preserve"> </v>
      </c>
      <c r="I50" s="3" t="str">
        <f t="shared" si="16"/>
        <v xml:space="preserve"> </v>
      </c>
      <c r="J50" s="3" t="str">
        <f t="shared" si="1"/>
        <v xml:space="preserve"> </v>
      </c>
      <c r="K50" s="3" t="str">
        <f t="shared" si="17"/>
        <v/>
      </c>
      <c r="L50" s="30" t="str">
        <f t="shared" si="2"/>
        <v/>
      </c>
      <c r="M50" s="29" t="str">
        <f t="shared" si="18"/>
        <v/>
      </c>
      <c r="N50" s="29" t="str">
        <f t="shared" si="22"/>
        <v/>
      </c>
      <c r="O50" s="29" t="str">
        <f t="shared" si="3"/>
        <v/>
      </c>
      <c r="P50" s="29" t="str">
        <f t="shared" si="4"/>
        <v/>
      </c>
      <c r="Q50" s="23" t="str">
        <f t="shared" si="23"/>
        <v/>
      </c>
      <c r="R50" s="5" t="str">
        <f t="shared" si="28"/>
        <v/>
      </c>
      <c r="S50" s="5" t="str">
        <f t="shared" si="20"/>
        <v/>
      </c>
      <c r="T50" s="5" t="str">
        <f t="shared" si="21"/>
        <v/>
      </c>
      <c r="U50" s="4" t="str">
        <f t="shared" si="24"/>
        <v xml:space="preserve"> </v>
      </c>
      <c r="V50" s="6" t="str">
        <f t="shared" si="25"/>
        <v xml:space="preserve"> </v>
      </c>
      <c r="W50" s="22" t="str">
        <f t="shared" si="26"/>
        <v/>
      </c>
      <c r="X50" s="22" t="str">
        <f t="shared" si="27"/>
        <v/>
      </c>
      <c r="Y50" s="22"/>
      <c r="AC50" s="2"/>
      <c r="AD50" s="2"/>
      <c r="AJ50" s="34"/>
      <c r="AK50" s="34"/>
      <c r="AL50" s="34"/>
    </row>
    <row r="51" spans="5:38" x14ac:dyDescent="0.25">
      <c r="E51" s="25" t="str">
        <f t="shared" si="13"/>
        <v xml:space="preserve"> </v>
      </c>
      <c r="F51" s="26" t="str">
        <f t="shared" si="14"/>
        <v xml:space="preserve"> </v>
      </c>
      <c r="G51" s="27" t="str">
        <f t="shared" si="15"/>
        <v xml:space="preserve"> </v>
      </c>
      <c r="H51" s="28" t="str">
        <f t="shared" si="0"/>
        <v xml:space="preserve"> </v>
      </c>
      <c r="I51" s="3" t="str">
        <f t="shared" si="16"/>
        <v xml:space="preserve"> </v>
      </c>
      <c r="J51" s="3" t="str">
        <f t="shared" si="1"/>
        <v xml:space="preserve"> </v>
      </c>
      <c r="K51" s="3" t="str">
        <f t="shared" si="17"/>
        <v/>
      </c>
      <c r="L51" s="30" t="str">
        <f t="shared" si="2"/>
        <v/>
      </c>
      <c r="M51" s="29" t="str">
        <f t="shared" si="18"/>
        <v/>
      </c>
      <c r="N51" s="29" t="str">
        <f t="shared" si="22"/>
        <v/>
      </c>
      <c r="O51" s="29" t="str">
        <f t="shared" si="3"/>
        <v/>
      </c>
      <c r="P51" s="29" t="str">
        <f t="shared" si="4"/>
        <v/>
      </c>
      <c r="Q51" s="23" t="str">
        <f t="shared" si="23"/>
        <v/>
      </c>
      <c r="R51" s="5" t="str">
        <f t="shared" si="28"/>
        <v/>
      </c>
      <c r="S51" s="5" t="str">
        <f t="shared" si="20"/>
        <v/>
      </c>
      <c r="T51" s="5" t="str">
        <f t="shared" si="21"/>
        <v/>
      </c>
      <c r="U51" s="4" t="str">
        <f t="shared" si="24"/>
        <v xml:space="preserve"> </v>
      </c>
      <c r="V51" s="6" t="str">
        <f t="shared" si="25"/>
        <v xml:space="preserve"> </v>
      </c>
      <c r="W51" s="22" t="str">
        <f t="shared" si="26"/>
        <v/>
      </c>
      <c r="X51" s="22" t="str">
        <f t="shared" si="27"/>
        <v/>
      </c>
      <c r="Y51" s="22"/>
      <c r="AC51" s="2"/>
      <c r="AD51" s="2"/>
      <c r="AJ51" s="34"/>
      <c r="AK51" s="34"/>
      <c r="AL51" s="34"/>
    </row>
    <row r="52" spans="5:38" x14ac:dyDescent="0.25">
      <c r="E52" s="25" t="str">
        <f t="shared" si="13"/>
        <v xml:space="preserve"> </v>
      </c>
      <c r="F52" s="26" t="str">
        <f t="shared" si="14"/>
        <v xml:space="preserve"> </v>
      </c>
      <c r="G52" s="27" t="str">
        <f t="shared" si="15"/>
        <v xml:space="preserve"> </v>
      </c>
      <c r="H52" s="28" t="str">
        <f t="shared" si="0"/>
        <v xml:space="preserve"> </v>
      </c>
      <c r="I52" s="3" t="str">
        <f t="shared" si="16"/>
        <v xml:space="preserve"> </v>
      </c>
      <c r="J52" s="3" t="str">
        <f t="shared" si="1"/>
        <v xml:space="preserve"> </v>
      </c>
      <c r="K52" s="3" t="str">
        <f t="shared" si="17"/>
        <v/>
      </c>
      <c r="L52" s="30" t="str">
        <f t="shared" si="2"/>
        <v/>
      </c>
      <c r="M52" s="29" t="str">
        <f t="shared" si="18"/>
        <v/>
      </c>
      <c r="N52" s="29" t="str">
        <f t="shared" si="22"/>
        <v/>
      </c>
      <c r="O52" s="29" t="str">
        <f t="shared" si="3"/>
        <v/>
      </c>
      <c r="P52" s="29" t="str">
        <f t="shared" si="4"/>
        <v/>
      </c>
      <c r="Q52" s="23" t="str">
        <f t="shared" si="23"/>
        <v/>
      </c>
      <c r="R52" s="5" t="str">
        <f t="shared" si="28"/>
        <v/>
      </c>
      <c r="S52" s="5" t="str">
        <f t="shared" si="20"/>
        <v/>
      </c>
      <c r="T52" s="5" t="str">
        <f t="shared" si="21"/>
        <v/>
      </c>
      <c r="U52" s="4" t="str">
        <f t="shared" si="24"/>
        <v xml:space="preserve"> </v>
      </c>
      <c r="V52" s="6" t="str">
        <f t="shared" si="25"/>
        <v xml:space="preserve"> </v>
      </c>
      <c r="W52" s="22" t="str">
        <f t="shared" si="26"/>
        <v/>
      </c>
      <c r="X52" s="22" t="str">
        <f t="shared" si="27"/>
        <v/>
      </c>
      <c r="Y52" s="22"/>
      <c r="AC52" s="2"/>
      <c r="AD52" s="2"/>
      <c r="AJ52" s="34"/>
      <c r="AK52" s="34"/>
      <c r="AL52" s="34"/>
    </row>
    <row r="53" spans="5:38" x14ac:dyDescent="0.25">
      <c r="E53" s="25" t="str">
        <f t="shared" si="13"/>
        <v xml:space="preserve"> </v>
      </c>
      <c r="F53" s="26" t="str">
        <f t="shared" si="14"/>
        <v xml:space="preserve"> </v>
      </c>
      <c r="G53" s="27" t="str">
        <f t="shared" si="15"/>
        <v xml:space="preserve"> </v>
      </c>
      <c r="H53" s="28" t="str">
        <f t="shared" si="0"/>
        <v xml:space="preserve"> </v>
      </c>
      <c r="I53" s="3" t="str">
        <f t="shared" si="16"/>
        <v xml:space="preserve"> </v>
      </c>
      <c r="J53" s="3" t="str">
        <f t="shared" si="1"/>
        <v xml:space="preserve"> </v>
      </c>
      <c r="K53" s="3" t="str">
        <f t="shared" si="17"/>
        <v/>
      </c>
      <c r="L53" s="30" t="str">
        <f t="shared" si="2"/>
        <v/>
      </c>
      <c r="M53" s="29" t="str">
        <f t="shared" si="18"/>
        <v/>
      </c>
      <c r="N53" s="29" t="str">
        <f t="shared" si="22"/>
        <v/>
      </c>
      <c r="O53" s="29" t="str">
        <f t="shared" si="3"/>
        <v/>
      </c>
      <c r="P53" s="29" t="str">
        <f t="shared" si="4"/>
        <v/>
      </c>
      <c r="Q53" s="23" t="str">
        <f t="shared" si="23"/>
        <v/>
      </c>
      <c r="R53" s="5" t="str">
        <f t="shared" si="28"/>
        <v/>
      </c>
      <c r="S53" s="5" t="str">
        <f t="shared" si="20"/>
        <v/>
      </c>
      <c r="T53" s="5" t="str">
        <f t="shared" si="21"/>
        <v/>
      </c>
      <c r="U53" s="4" t="str">
        <f t="shared" si="24"/>
        <v xml:space="preserve"> </v>
      </c>
      <c r="V53" s="6" t="str">
        <f t="shared" si="25"/>
        <v xml:space="preserve"> </v>
      </c>
      <c r="W53" s="22" t="str">
        <f t="shared" si="26"/>
        <v/>
      </c>
      <c r="X53" s="22" t="str">
        <f t="shared" si="27"/>
        <v/>
      </c>
      <c r="Y53" s="22"/>
      <c r="AC53" s="2"/>
      <c r="AD53" s="2"/>
      <c r="AJ53" s="34"/>
      <c r="AK53" s="34"/>
      <c r="AL53" s="34"/>
    </row>
    <row r="54" spans="5:38" x14ac:dyDescent="0.25">
      <c r="E54" s="25" t="str">
        <f t="shared" si="13"/>
        <v xml:space="preserve"> </v>
      </c>
      <c r="F54" s="26" t="str">
        <f t="shared" si="14"/>
        <v xml:space="preserve"> </v>
      </c>
      <c r="G54" s="27" t="str">
        <f t="shared" si="15"/>
        <v xml:space="preserve"> </v>
      </c>
      <c r="H54" s="28" t="str">
        <f t="shared" si="0"/>
        <v xml:space="preserve"> </v>
      </c>
      <c r="I54" s="3" t="str">
        <f t="shared" si="16"/>
        <v xml:space="preserve"> </v>
      </c>
      <c r="J54" s="3" t="str">
        <f t="shared" si="1"/>
        <v xml:space="preserve"> </v>
      </c>
      <c r="K54" s="3" t="str">
        <f t="shared" si="17"/>
        <v/>
      </c>
      <c r="L54" s="30" t="str">
        <f t="shared" si="2"/>
        <v/>
      </c>
      <c r="M54" s="29" t="str">
        <f t="shared" si="18"/>
        <v/>
      </c>
      <c r="N54" s="29" t="str">
        <f t="shared" si="22"/>
        <v/>
      </c>
      <c r="O54" s="29" t="str">
        <f t="shared" si="3"/>
        <v/>
      </c>
      <c r="P54" s="29" t="str">
        <f t="shared" si="4"/>
        <v/>
      </c>
      <c r="Q54" s="23" t="str">
        <f t="shared" si="23"/>
        <v/>
      </c>
      <c r="R54" s="5" t="str">
        <f t="shared" si="28"/>
        <v/>
      </c>
      <c r="S54" s="5" t="str">
        <f t="shared" si="20"/>
        <v/>
      </c>
      <c r="T54" s="5" t="str">
        <f t="shared" si="21"/>
        <v/>
      </c>
      <c r="U54" s="4" t="str">
        <f t="shared" si="24"/>
        <v xml:space="preserve"> </v>
      </c>
      <c r="V54" s="6" t="str">
        <f t="shared" si="25"/>
        <v xml:space="preserve"> </v>
      </c>
      <c r="W54" s="22" t="str">
        <f t="shared" si="26"/>
        <v/>
      </c>
      <c r="X54" s="22" t="str">
        <f t="shared" si="27"/>
        <v/>
      </c>
      <c r="Y54" s="22"/>
      <c r="AC54" s="2"/>
      <c r="AD54" s="2"/>
      <c r="AJ54" s="34"/>
      <c r="AK54" s="34"/>
      <c r="AL54" s="34"/>
    </row>
    <row r="55" spans="5:38" x14ac:dyDescent="0.25">
      <c r="E55" s="25" t="str">
        <f t="shared" si="13"/>
        <v xml:space="preserve"> </v>
      </c>
      <c r="F55" s="26" t="str">
        <f t="shared" si="14"/>
        <v xml:space="preserve"> </v>
      </c>
      <c r="G55" s="27" t="str">
        <f t="shared" si="15"/>
        <v xml:space="preserve"> </v>
      </c>
      <c r="H55" s="28" t="str">
        <f t="shared" si="0"/>
        <v xml:space="preserve"> </v>
      </c>
      <c r="I55" s="3" t="str">
        <f t="shared" si="16"/>
        <v xml:space="preserve"> </v>
      </c>
      <c r="J55" s="3" t="str">
        <f t="shared" si="1"/>
        <v xml:space="preserve"> </v>
      </c>
      <c r="K55" s="3" t="str">
        <f t="shared" si="17"/>
        <v/>
      </c>
      <c r="L55" s="30" t="str">
        <f t="shared" si="2"/>
        <v/>
      </c>
      <c r="M55" s="29" t="str">
        <f t="shared" si="18"/>
        <v/>
      </c>
      <c r="N55" s="29" t="str">
        <f t="shared" si="22"/>
        <v/>
      </c>
      <c r="O55" s="29" t="str">
        <f t="shared" si="3"/>
        <v/>
      </c>
      <c r="P55" s="29" t="str">
        <f t="shared" si="4"/>
        <v/>
      </c>
      <c r="Q55" s="23" t="str">
        <f t="shared" si="23"/>
        <v/>
      </c>
      <c r="R55" s="5" t="str">
        <f t="shared" si="28"/>
        <v/>
      </c>
      <c r="S55" s="5" t="str">
        <f t="shared" si="20"/>
        <v/>
      </c>
      <c r="T55" s="5" t="str">
        <f t="shared" si="21"/>
        <v/>
      </c>
      <c r="U55" s="4" t="str">
        <f t="shared" si="24"/>
        <v xml:space="preserve"> </v>
      </c>
      <c r="V55" s="6" t="str">
        <f t="shared" si="25"/>
        <v xml:space="preserve"> </v>
      </c>
      <c r="W55" s="22" t="str">
        <f t="shared" si="26"/>
        <v/>
      </c>
      <c r="X55" s="22" t="str">
        <f t="shared" si="27"/>
        <v/>
      </c>
      <c r="Y55" s="22"/>
      <c r="AC55" s="2"/>
      <c r="AD55" s="2"/>
      <c r="AJ55" s="34"/>
      <c r="AK55" s="34"/>
      <c r="AL55" s="34"/>
    </row>
    <row r="56" spans="5:38" x14ac:dyDescent="0.25">
      <c r="E56" s="25" t="str">
        <f t="shared" si="13"/>
        <v xml:space="preserve"> </v>
      </c>
      <c r="F56" s="26" t="str">
        <f t="shared" si="14"/>
        <v xml:space="preserve"> </v>
      </c>
      <c r="G56" s="27" t="str">
        <f t="shared" si="15"/>
        <v xml:space="preserve"> </v>
      </c>
      <c r="H56" s="28" t="str">
        <f t="shared" si="0"/>
        <v xml:space="preserve"> </v>
      </c>
      <c r="I56" s="3" t="str">
        <f t="shared" si="16"/>
        <v xml:space="preserve"> </v>
      </c>
      <c r="J56" s="3" t="str">
        <f t="shared" si="1"/>
        <v xml:space="preserve"> </v>
      </c>
      <c r="K56" s="3" t="str">
        <f t="shared" si="17"/>
        <v/>
      </c>
      <c r="L56" s="30" t="str">
        <f t="shared" si="2"/>
        <v/>
      </c>
      <c r="M56" s="29" t="str">
        <f t="shared" si="18"/>
        <v/>
      </c>
      <c r="N56" s="29" t="str">
        <f t="shared" si="22"/>
        <v/>
      </c>
      <c r="O56" s="29" t="str">
        <f t="shared" si="3"/>
        <v/>
      </c>
      <c r="P56" s="29" t="str">
        <f t="shared" si="4"/>
        <v/>
      </c>
      <c r="Q56" s="23" t="str">
        <f t="shared" si="23"/>
        <v/>
      </c>
      <c r="R56" s="5" t="str">
        <f t="shared" si="28"/>
        <v/>
      </c>
      <c r="S56" s="5" t="str">
        <f t="shared" si="20"/>
        <v/>
      </c>
      <c r="T56" s="5" t="str">
        <f t="shared" si="21"/>
        <v/>
      </c>
      <c r="U56" s="4" t="str">
        <f t="shared" si="24"/>
        <v xml:space="preserve"> </v>
      </c>
      <c r="V56" s="6" t="str">
        <f t="shared" si="25"/>
        <v xml:space="preserve"> </v>
      </c>
      <c r="W56" s="22" t="str">
        <f t="shared" si="26"/>
        <v/>
      </c>
      <c r="X56" s="22" t="str">
        <f t="shared" si="27"/>
        <v/>
      </c>
      <c r="Y56" s="22"/>
      <c r="AC56" s="2"/>
      <c r="AD56" s="2"/>
      <c r="AJ56" s="34"/>
      <c r="AK56" s="34"/>
      <c r="AL56" s="34"/>
    </row>
    <row r="57" spans="5:38" x14ac:dyDescent="0.25">
      <c r="E57" s="25" t="str">
        <f t="shared" si="13"/>
        <v xml:space="preserve"> </v>
      </c>
      <c r="F57" s="26" t="str">
        <f t="shared" si="14"/>
        <v xml:space="preserve"> </v>
      </c>
      <c r="G57" s="27" t="str">
        <f t="shared" si="15"/>
        <v xml:space="preserve"> </v>
      </c>
      <c r="H57" s="28" t="str">
        <f t="shared" si="0"/>
        <v xml:space="preserve"> </v>
      </c>
      <c r="I57" s="3" t="str">
        <f t="shared" si="16"/>
        <v xml:space="preserve"> </v>
      </c>
      <c r="J57" s="3" t="str">
        <f t="shared" si="1"/>
        <v xml:space="preserve"> </v>
      </c>
      <c r="K57" s="3" t="str">
        <f t="shared" si="17"/>
        <v/>
      </c>
      <c r="L57" s="30" t="str">
        <f t="shared" si="2"/>
        <v/>
      </c>
      <c r="M57" s="29" t="str">
        <f t="shared" si="18"/>
        <v/>
      </c>
      <c r="N57" s="29" t="str">
        <f t="shared" si="22"/>
        <v/>
      </c>
      <c r="O57" s="29" t="str">
        <f t="shared" si="3"/>
        <v/>
      </c>
      <c r="P57" s="29" t="str">
        <f t="shared" si="4"/>
        <v/>
      </c>
      <c r="Q57" s="23" t="str">
        <f t="shared" si="23"/>
        <v/>
      </c>
      <c r="R57" s="5" t="str">
        <f t="shared" si="28"/>
        <v/>
      </c>
      <c r="S57" s="5" t="str">
        <f t="shared" si="20"/>
        <v/>
      </c>
      <c r="T57" s="5" t="str">
        <f t="shared" si="21"/>
        <v/>
      </c>
      <c r="U57" s="4" t="str">
        <f t="shared" si="24"/>
        <v xml:space="preserve"> </v>
      </c>
      <c r="V57" s="6" t="str">
        <f t="shared" si="25"/>
        <v xml:space="preserve"> </v>
      </c>
      <c r="W57" s="22" t="str">
        <f t="shared" si="26"/>
        <v/>
      </c>
      <c r="X57" s="22" t="str">
        <f t="shared" si="27"/>
        <v/>
      </c>
      <c r="Y57" s="22"/>
      <c r="AC57" s="2"/>
      <c r="AD57" s="2"/>
      <c r="AJ57" s="34"/>
      <c r="AK57" s="34"/>
      <c r="AL57" s="34"/>
    </row>
    <row r="58" spans="5:38" x14ac:dyDescent="0.25">
      <c r="E58" s="25" t="str">
        <f t="shared" si="13"/>
        <v xml:space="preserve"> </v>
      </c>
      <c r="F58" s="26" t="str">
        <f t="shared" si="14"/>
        <v xml:space="preserve"> </v>
      </c>
      <c r="G58" s="27" t="str">
        <f t="shared" si="15"/>
        <v xml:space="preserve"> </v>
      </c>
      <c r="H58" s="28" t="str">
        <f t="shared" si="0"/>
        <v xml:space="preserve"> </v>
      </c>
      <c r="I58" s="3" t="str">
        <f t="shared" si="16"/>
        <v xml:space="preserve"> </v>
      </c>
      <c r="J58" s="3" t="str">
        <f t="shared" si="1"/>
        <v xml:space="preserve"> </v>
      </c>
      <c r="K58" s="3" t="str">
        <f t="shared" si="17"/>
        <v/>
      </c>
      <c r="L58" s="30" t="str">
        <f t="shared" si="2"/>
        <v/>
      </c>
      <c r="M58" s="29" t="str">
        <f t="shared" si="18"/>
        <v/>
      </c>
      <c r="N58" s="29" t="str">
        <f t="shared" si="22"/>
        <v/>
      </c>
      <c r="O58" s="29" t="str">
        <f t="shared" si="3"/>
        <v/>
      </c>
      <c r="P58" s="29" t="str">
        <f t="shared" si="4"/>
        <v/>
      </c>
      <c r="Q58" s="23" t="str">
        <f t="shared" si="23"/>
        <v/>
      </c>
      <c r="R58" s="5" t="str">
        <f t="shared" si="28"/>
        <v/>
      </c>
      <c r="S58" s="5" t="str">
        <f t="shared" si="20"/>
        <v/>
      </c>
      <c r="T58" s="5" t="str">
        <f t="shared" si="21"/>
        <v/>
      </c>
      <c r="U58" s="4" t="str">
        <f t="shared" si="24"/>
        <v xml:space="preserve"> </v>
      </c>
      <c r="V58" s="6" t="str">
        <f t="shared" si="25"/>
        <v xml:space="preserve"> </v>
      </c>
      <c r="W58" s="22" t="str">
        <f t="shared" si="26"/>
        <v/>
      </c>
      <c r="X58" s="22" t="str">
        <f t="shared" si="27"/>
        <v/>
      </c>
      <c r="Y58" s="22"/>
      <c r="AC58" s="2"/>
      <c r="AD58" s="2"/>
      <c r="AJ58" s="34"/>
      <c r="AK58" s="34"/>
      <c r="AL58" s="34"/>
    </row>
    <row r="59" spans="5:38" x14ac:dyDescent="0.25">
      <c r="E59" s="25" t="str">
        <f t="shared" si="13"/>
        <v xml:space="preserve"> </v>
      </c>
      <c r="F59" s="26" t="str">
        <f t="shared" si="14"/>
        <v xml:space="preserve"> </v>
      </c>
      <c r="G59" s="27" t="str">
        <f t="shared" si="15"/>
        <v xml:space="preserve"> </v>
      </c>
      <c r="H59" s="28" t="str">
        <f t="shared" si="0"/>
        <v xml:space="preserve"> </v>
      </c>
      <c r="I59" s="3" t="str">
        <f t="shared" si="16"/>
        <v xml:space="preserve"> </v>
      </c>
      <c r="J59" s="3" t="str">
        <f t="shared" si="1"/>
        <v xml:space="preserve"> </v>
      </c>
      <c r="K59" s="3" t="str">
        <f t="shared" si="17"/>
        <v/>
      </c>
      <c r="L59" s="30" t="str">
        <f t="shared" si="2"/>
        <v/>
      </c>
      <c r="M59" s="29" t="str">
        <f t="shared" si="18"/>
        <v/>
      </c>
      <c r="N59" s="29" t="str">
        <f t="shared" si="22"/>
        <v/>
      </c>
      <c r="O59" s="29" t="str">
        <f t="shared" si="3"/>
        <v/>
      </c>
      <c r="P59" s="29" t="str">
        <f t="shared" si="4"/>
        <v/>
      </c>
      <c r="Q59" s="23" t="str">
        <f t="shared" si="23"/>
        <v/>
      </c>
      <c r="R59" s="5" t="str">
        <f t="shared" si="28"/>
        <v/>
      </c>
      <c r="S59" s="5" t="str">
        <f t="shared" si="20"/>
        <v/>
      </c>
      <c r="T59" s="5" t="str">
        <f t="shared" si="21"/>
        <v/>
      </c>
      <c r="U59" s="4" t="str">
        <f t="shared" si="24"/>
        <v xml:space="preserve"> </v>
      </c>
      <c r="V59" s="6" t="str">
        <f t="shared" si="25"/>
        <v xml:space="preserve"> </v>
      </c>
      <c r="W59" s="22" t="str">
        <f t="shared" si="26"/>
        <v/>
      </c>
      <c r="X59" s="22" t="str">
        <f t="shared" si="27"/>
        <v/>
      </c>
      <c r="Y59" s="22"/>
      <c r="AC59" s="2"/>
      <c r="AD59" s="2"/>
      <c r="AJ59" s="34"/>
      <c r="AK59" s="34"/>
      <c r="AL59" s="34"/>
    </row>
    <row r="60" spans="5:38" x14ac:dyDescent="0.25">
      <c r="E60" s="25" t="str">
        <f t="shared" si="13"/>
        <v xml:space="preserve"> </v>
      </c>
      <c r="F60" s="26" t="str">
        <f t="shared" si="14"/>
        <v xml:space="preserve"> </v>
      </c>
      <c r="G60" s="27" t="str">
        <f t="shared" si="15"/>
        <v xml:space="preserve"> </v>
      </c>
      <c r="H60" s="28" t="str">
        <f t="shared" si="0"/>
        <v xml:space="preserve"> </v>
      </c>
      <c r="I60" s="3" t="str">
        <f t="shared" si="16"/>
        <v xml:space="preserve"> </v>
      </c>
      <c r="J60" s="3" t="str">
        <f t="shared" si="1"/>
        <v xml:space="preserve"> </v>
      </c>
      <c r="K60" s="3" t="str">
        <f t="shared" si="17"/>
        <v/>
      </c>
      <c r="L60" s="30" t="str">
        <f t="shared" si="2"/>
        <v/>
      </c>
      <c r="M60" s="29" t="str">
        <f t="shared" si="18"/>
        <v/>
      </c>
      <c r="N60" s="29" t="str">
        <f t="shared" si="22"/>
        <v/>
      </c>
      <c r="O60" s="29" t="str">
        <f t="shared" si="3"/>
        <v/>
      </c>
      <c r="P60" s="29" t="str">
        <f t="shared" si="4"/>
        <v/>
      </c>
      <c r="Q60" s="23" t="str">
        <f t="shared" si="23"/>
        <v/>
      </c>
      <c r="R60" s="5" t="str">
        <f t="shared" si="28"/>
        <v/>
      </c>
      <c r="S60" s="5" t="str">
        <f t="shared" si="20"/>
        <v/>
      </c>
      <c r="T60" s="5" t="str">
        <f t="shared" si="21"/>
        <v/>
      </c>
      <c r="U60" s="4" t="str">
        <f t="shared" si="24"/>
        <v xml:space="preserve"> </v>
      </c>
      <c r="V60" s="6" t="str">
        <f t="shared" si="25"/>
        <v xml:space="preserve"> </v>
      </c>
      <c r="W60" s="22" t="str">
        <f t="shared" si="26"/>
        <v/>
      </c>
      <c r="X60" s="22" t="str">
        <f t="shared" si="27"/>
        <v/>
      </c>
      <c r="Y60" s="22"/>
      <c r="AC60" s="2"/>
      <c r="AD60" s="2"/>
      <c r="AJ60" s="34"/>
      <c r="AK60" s="34"/>
      <c r="AL60" s="34"/>
    </row>
    <row r="61" spans="5:38" x14ac:dyDescent="0.25">
      <c r="E61" s="25" t="str">
        <f t="shared" si="13"/>
        <v xml:space="preserve"> </v>
      </c>
      <c r="F61" s="26" t="str">
        <f t="shared" si="14"/>
        <v xml:space="preserve"> </v>
      </c>
      <c r="G61" s="27" t="str">
        <f t="shared" si="15"/>
        <v xml:space="preserve"> </v>
      </c>
      <c r="H61" s="28" t="str">
        <f t="shared" si="0"/>
        <v xml:space="preserve"> </v>
      </c>
      <c r="I61" s="3" t="str">
        <f t="shared" si="16"/>
        <v xml:space="preserve"> </v>
      </c>
      <c r="J61" s="3" t="str">
        <f t="shared" si="1"/>
        <v xml:space="preserve"> </v>
      </c>
      <c r="K61" s="3" t="str">
        <f t="shared" si="17"/>
        <v/>
      </c>
      <c r="L61" s="30" t="str">
        <f t="shared" si="2"/>
        <v/>
      </c>
      <c r="M61" s="29" t="str">
        <f t="shared" si="18"/>
        <v/>
      </c>
      <c r="N61" s="29" t="str">
        <f t="shared" si="22"/>
        <v/>
      </c>
      <c r="O61" s="29" t="str">
        <f t="shared" si="3"/>
        <v/>
      </c>
      <c r="P61" s="29" t="str">
        <f t="shared" si="4"/>
        <v/>
      </c>
      <c r="Q61" s="23" t="str">
        <f t="shared" si="23"/>
        <v/>
      </c>
      <c r="R61" s="5" t="str">
        <f t="shared" si="28"/>
        <v/>
      </c>
      <c r="S61" s="5" t="str">
        <f t="shared" si="20"/>
        <v/>
      </c>
      <c r="T61" s="5" t="str">
        <f t="shared" si="21"/>
        <v/>
      </c>
      <c r="U61" s="4" t="str">
        <f t="shared" si="24"/>
        <v xml:space="preserve"> </v>
      </c>
      <c r="V61" s="6" t="str">
        <f t="shared" si="25"/>
        <v xml:space="preserve"> </v>
      </c>
      <c r="W61" s="22" t="str">
        <f t="shared" si="26"/>
        <v/>
      </c>
      <c r="X61" s="22" t="str">
        <f t="shared" si="27"/>
        <v/>
      </c>
      <c r="Y61" s="22"/>
      <c r="AC61" s="2"/>
      <c r="AD61" s="2"/>
      <c r="AJ61" s="34"/>
      <c r="AK61" s="34"/>
      <c r="AL61" s="34"/>
    </row>
    <row r="62" spans="5:38" x14ac:dyDescent="0.25">
      <c r="E62" s="25" t="str">
        <f t="shared" si="13"/>
        <v xml:space="preserve"> </v>
      </c>
      <c r="F62" s="26" t="str">
        <f t="shared" si="14"/>
        <v xml:space="preserve"> </v>
      </c>
      <c r="G62" s="27" t="str">
        <f t="shared" si="15"/>
        <v xml:space="preserve"> </v>
      </c>
      <c r="H62" s="28" t="str">
        <f t="shared" si="0"/>
        <v xml:space="preserve"> </v>
      </c>
      <c r="I62" s="3" t="str">
        <f t="shared" si="16"/>
        <v xml:space="preserve"> </v>
      </c>
      <c r="J62" s="3" t="str">
        <f t="shared" si="1"/>
        <v xml:space="preserve"> </v>
      </c>
      <c r="K62" s="3" t="str">
        <f t="shared" si="17"/>
        <v/>
      </c>
      <c r="L62" s="30" t="str">
        <f t="shared" si="2"/>
        <v/>
      </c>
      <c r="M62" s="29" t="str">
        <f t="shared" si="18"/>
        <v/>
      </c>
      <c r="N62" s="29" t="str">
        <f t="shared" si="22"/>
        <v/>
      </c>
      <c r="O62" s="29" t="str">
        <f t="shared" si="3"/>
        <v/>
      </c>
      <c r="P62" s="29" t="str">
        <f t="shared" si="4"/>
        <v/>
      </c>
      <c r="Q62" s="23" t="str">
        <f t="shared" si="23"/>
        <v/>
      </c>
      <c r="R62" s="5" t="str">
        <f t="shared" si="28"/>
        <v/>
      </c>
      <c r="S62" s="5" t="str">
        <f t="shared" si="20"/>
        <v/>
      </c>
      <c r="T62" s="5" t="str">
        <f t="shared" si="21"/>
        <v/>
      </c>
      <c r="U62" s="4" t="str">
        <f t="shared" si="24"/>
        <v xml:space="preserve"> </v>
      </c>
      <c r="V62" s="6" t="str">
        <f t="shared" si="25"/>
        <v xml:space="preserve"> </v>
      </c>
      <c r="W62" s="22" t="str">
        <f t="shared" si="26"/>
        <v/>
      </c>
      <c r="X62" s="22" t="str">
        <f t="shared" si="27"/>
        <v/>
      </c>
      <c r="Y62" s="22"/>
      <c r="AC62" s="2"/>
      <c r="AD62" s="2"/>
      <c r="AJ62" s="34"/>
      <c r="AK62" s="34"/>
      <c r="AL62" s="34"/>
    </row>
    <row r="63" spans="5:38" x14ac:dyDescent="0.25">
      <c r="E63" s="25" t="str">
        <f t="shared" si="13"/>
        <v xml:space="preserve"> </v>
      </c>
      <c r="F63" s="26" t="str">
        <f t="shared" si="14"/>
        <v xml:space="preserve"> </v>
      </c>
      <c r="G63" s="27" t="str">
        <f t="shared" si="15"/>
        <v xml:space="preserve"> </v>
      </c>
      <c r="H63" s="28" t="str">
        <f t="shared" si="0"/>
        <v xml:space="preserve"> </v>
      </c>
      <c r="I63" s="3" t="str">
        <f t="shared" si="16"/>
        <v xml:space="preserve"> </v>
      </c>
      <c r="J63" s="3" t="str">
        <f t="shared" si="1"/>
        <v xml:space="preserve"> </v>
      </c>
      <c r="K63" s="3" t="str">
        <f t="shared" si="17"/>
        <v/>
      </c>
      <c r="L63" s="30" t="str">
        <f t="shared" si="2"/>
        <v/>
      </c>
      <c r="M63" s="29" t="str">
        <f t="shared" si="18"/>
        <v/>
      </c>
      <c r="N63" s="29" t="str">
        <f t="shared" si="22"/>
        <v/>
      </c>
      <c r="O63" s="29" t="str">
        <f t="shared" si="3"/>
        <v/>
      </c>
      <c r="P63" s="29" t="str">
        <f t="shared" si="4"/>
        <v/>
      </c>
      <c r="Q63" s="23" t="str">
        <f t="shared" si="23"/>
        <v/>
      </c>
      <c r="R63" s="5" t="str">
        <f t="shared" si="28"/>
        <v/>
      </c>
      <c r="S63" s="5" t="str">
        <f t="shared" si="20"/>
        <v/>
      </c>
      <c r="T63" s="5" t="str">
        <f t="shared" si="21"/>
        <v/>
      </c>
      <c r="U63" s="4" t="str">
        <f t="shared" si="24"/>
        <v xml:space="preserve"> </v>
      </c>
      <c r="V63" s="6" t="str">
        <f t="shared" si="25"/>
        <v xml:space="preserve"> </v>
      </c>
      <c r="W63" s="22" t="str">
        <f t="shared" si="26"/>
        <v/>
      </c>
      <c r="X63" s="22" t="str">
        <f t="shared" si="27"/>
        <v/>
      </c>
      <c r="Y63" s="22"/>
      <c r="AC63" s="2"/>
      <c r="AD63" s="2"/>
      <c r="AJ63" s="34"/>
      <c r="AK63" s="34"/>
      <c r="AL63" s="34"/>
    </row>
    <row r="64" spans="5:38" x14ac:dyDescent="0.25">
      <c r="E64" s="25" t="str">
        <f t="shared" si="13"/>
        <v xml:space="preserve"> </v>
      </c>
      <c r="F64" s="26" t="str">
        <f t="shared" si="14"/>
        <v xml:space="preserve"> </v>
      </c>
      <c r="G64" s="27" t="str">
        <f t="shared" si="15"/>
        <v xml:space="preserve"> </v>
      </c>
      <c r="H64" s="28" t="str">
        <f t="shared" si="0"/>
        <v xml:space="preserve"> </v>
      </c>
      <c r="I64" s="3" t="str">
        <f t="shared" si="16"/>
        <v xml:space="preserve"> </v>
      </c>
      <c r="J64" s="3" t="str">
        <f t="shared" si="1"/>
        <v xml:space="preserve"> </v>
      </c>
      <c r="K64" s="3" t="str">
        <f t="shared" si="17"/>
        <v/>
      </c>
      <c r="L64" s="30" t="str">
        <f t="shared" ref="L64:L69" si="29">IFERROR(ROUND(IF($C$18=" "," ",$C$13/K64),2),"")</f>
        <v/>
      </c>
      <c r="M64" s="29" t="str">
        <f t="shared" si="18"/>
        <v/>
      </c>
      <c r="N64" s="29" t="str">
        <f t="shared" si="22"/>
        <v/>
      </c>
      <c r="O64" s="29" t="str">
        <f t="shared" si="3"/>
        <v/>
      </c>
      <c r="P64" s="29" t="str">
        <f t="shared" si="4"/>
        <v/>
      </c>
      <c r="Q64" s="23" t="str">
        <f t="shared" si="23"/>
        <v/>
      </c>
      <c r="R64" s="5" t="str">
        <f t="shared" si="28"/>
        <v/>
      </c>
      <c r="S64" s="5" t="str">
        <f t="shared" si="20"/>
        <v/>
      </c>
      <c r="T64" s="5" t="str">
        <f t="shared" si="21"/>
        <v/>
      </c>
      <c r="U64" s="4" t="str">
        <f t="shared" si="24"/>
        <v xml:space="preserve"> </v>
      </c>
      <c r="V64" s="6" t="str">
        <f t="shared" si="25"/>
        <v xml:space="preserve"> </v>
      </c>
      <c r="W64" s="22" t="str">
        <f t="shared" si="26"/>
        <v/>
      </c>
      <c r="X64" s="22" t="str">
        <f t="shared" si="27"/>
        <v/>
      </c>
      <c r="Y64" s="22"/>
    </row>
    <row r="65" spans="5:25" x14ac:dyDescent="0.25">
      <c r="E65" s="25" t="str">
        <f t="shared" si="13"/>
        <v xml:space="preserve"> </v>
      </c>
      <c r="F65" s="26" t="str">
        <f t="shared" si="14"/>
        <v xml:space="preserve"> </v>
      </c>
      <c r="G65" s="27" t="str">
        <f t="shared" si="15"/>
        <v xml:space="preserve"> </v>
      </c>
      <c r="H65" s="28" t="str">
        <f t="shared" si="0"/>
        <v xml:space="preserve"> </v>
      </c>
      <c r="I65" s="3" t="str">
        <f t="shared" si="16"/>
        <v xml:space="preserve"> </v>
      </c>
      <c r="J65" s="3" t="str">
        <f t="shared" si="1"/>
        <v xml:space="preserve"> </v>
      </c>
      <c r="K65" s="3" t="str">
        <f t="shared" si="17"/>
        <v/>
      </c>
      <c r="L65" s="30" t="str">
        <f t="shared" si="29"/>
        <v/>
      </c>
      <c r="M65" s="29" t="str">
        <f t="shared" si="18"/>
        <v/>
      </c>
      <c r="N65" s="29" t="str">
        <f t="shared" si="22"/>
        <v/>
      </c>
      <c r="O65" s="29" t="str">
        <f t="shared" si="3"/>
        <v/>
      </c>
      <c r="P65" s="29" t="str">
        <f t="shared" si="4"/>
        <v/>
      </c>
      <c r="Q65" s="23" t="str">
        <f t="shared" si="23"/>
        <v/>
      </c>
      <c r="R65" s="5" t="str">
        <f t="shared" si="28"/>
        <v/>
      </c>
      <c r="S65" s="5" t="str">
        <f t="shared" si="20"/>
        <v/>
      </c>
      <c r="T65" s="5" t="str">
        <f t="shared" si="21"/>
        <v/>
      </c>
      <c r="U65" s="4" t="str">
        <f t="shared" si="24"/>
        <v xml:space="preserve"> </v>
      </c>
      <c r="V65" s="6" t="str">
        <f t="shared" si="25"/>
        <v xml:space="preserve"> </v>
      </c>
      <c r="W65" s="22" t="str">
        <f t="shared" si="26"/>
        <v/>
      </c>
      <c r="X65" s="22" t="str">
        <f t="shared" si="27"/>
        <v/>
      </c>
      <c r="Y65" s="22"/>
    </row>
    <row r="66" spans="5:25" x14ac:dyDescent="0.25">
      <c r="E66" s="25" t="str">
        <f t="shared" si="13"/>
        <v xml:space="preserve"> </v>
      </c>
      <c r="F66" s="26" t="str">
        <f t="shared" si="14"/>
        <v xml:space="preserve"> </v>
      </c>
      <c r="G66" s="27" t="str">
        <f t="shared" si="15"/>
        <v xml:space="preserve"> </v>
      </c>
      <c r="H66" s="28" t="str">
        <f t="shared" si="0"/>
        <v xml:space="preserve"> </v>
      </c>
      <c r="I66" s="3" t="str">
        <f t="shared" si="16"/>
        <v xml:space="preserve"> </v>
      </c>
      <c r="J66" s="3" t="str">
        <f t="shared" si="1"/>
        <v xml:space="preserve"> </v>
      </c>
      <c r="K66" s="3" t="str">
        <f t="shared" si="17"/>
        <v/>
      </c>
      <c r="L66" s="30" t="str">
        <f t="shared" si="29"/>
        <v/>
      </c>
      <c r="M66" s="29" t="str">
        <f t="shared" si="18"/>
        <v/>
      </c>
      <c r="N66" s="29" t="str">
        <f t="shared" si="22"/>
        <v/>
      </c>
      <c r="O66" s="29" t="str">
        <f t="shared" si="3"/>
        <v/>
      </c>
      <c r="P66" s="29" t="str">
        <f t="shared" si="4"/>
        <v/>
      </c>
      <c r="Q66" s="23" t="str">
        <f t="shared" si="23"/>
        <v/>
      </c>
      <c r="R66" s="5" t="str">
        <f t="shared" si="28"/>
        <v/>
      </c>
      <c r="S66" s="5" t="str">
        <f t="shared" si="20"/>
        <v/>
      </c>
      <c r="T66" s="5" t="str">
        <f t="shared" si="21"/>
        <v/>
      </c>
      <c r="U66" s="4" t="str">
        <f t="shared" si="24"/>
        <v xml:space="preserve"> </v>
      </c>
      <c r="V66" s="6" t="str">
        <f t="shared" si="25"/>
        <v xml:space="preserve"> </v>
      </c>
      <c r="W66" s="22" t="str">
        <f t="shared" si="26"/>
        <v/>
      </c>
      <c r="X66" s="22" t="str">
        <f t="shared" si="27"/>
        <v/>
      </c>
      <c r="Y66" s="22"/>
    </row>
    <row r="67" spans="5:25" x14ac:dyDescent="0.25">
      <c r="E67" s="25" t="str">
        <f t="shared" si="13"/>
        <v xml:space="preserve"> </v>
      </c>
      <c r="F67" s="26" t="str">
        <f t="shared" si="14"/>
        <v xml:space="preserve"> </v>
      </c>
      <c r="G67" s="27" t="str">
        <f t="shared" si="15"/>
        <v xml:space="preserve"> </v>
      </c>
      <c r="H67" s="28" t="str">
        <f t="shared" si="0"/>
        <v xml:space="preserve"> </v>
      </c>
      <c r="I67" s="3" t="str">
        <f t="shared" si="16"/>
        <v xml:space="preserve"> </v>
      </c>
      <c r="J67" s="3" t="str">
        <f t="shared" si="1"/>
        <v xml:space="preserve"> </v>
      </c>
      <c r="K67" s="3" t="str">
        <f t="shared" si="17"/>
        <v/>
      </c>
      <c r="L67" s="30" t="str">
        <f t="shared" si="29"/>
        <v/>
      </c>
      <c r="M67" s="29" t="str">
        <f t="shared" si="18"/>
        <v/>
      </c>
      <c r="N67" s="29" t="str">
        <f t="shared" si="22"/>
        <v/>
      </c>
      <c r="O67" s="29" t="str">
        <f t="shared" si="3"/>
        <v/>
      </c>
      <c r="P67" s="29" t="str">
        <f t="shared" si="4"/>
        <v/>
      </c>
      <c r="Q67" s="23" t="str">
        <f t="shared" si="23"/>
        <v/>
      </c>
      <c r="R67" s="5" t="str">
        <f t="shared" si="28"/>
        <v/>
      </c>
      <c r="S67" s="5" t="str">
        <f t="shared" si="20"/>
        <v/>
      </c>
      <c r="T67" s="5" t="str">
        <f t="shared" si="21"/>
        <v/>
      </c>
      <c r="U67" s="4" t="str">
        <f t="shared" si="24"/>
        <v xml:space="preserve"> </v>
      </c>
      <c r="V67" s="6" t="str">
        <f t="shared" si="25"/>
        <v xml:space="preserve"> </v>
      </c>
      <c r="W67" s="22" t="str">
        <f t="shared" si="26"/>
        <v/>
      </c>
      <c r="X67" s="22" t="str">
        <f t="shared" si="27"/>
        <v/>
      </c>
      <c r="Y67" s="22"/>
    </row>
    <row r="68" spans="5:25" x14ac:dyDescent="0.25">
      <c r="E68" s="25" t="str">
        <f t="shared" si="13"/>
        <v xml:space="preserve"> </v>
      </c>
      <c r="F68" s="26" t="str">
        <f t="shared" si="14"/>
        <v xml:space="preserve"> </v>
      </c>
      <c r="G68" s="27" t="str">
        <f t="shared" si="15"/>
        <v xml:space="preserve"> </v>
      </c>
      <c r="H68" s="28" t="str">
        <f t="shared" ref="H68:H69" si="30">IFERROR(IF(E68=" "," ",IF($E68&lt;=$C$16,$G68*$C$14/IF(DAY(DATE(MID(F68,7,4),3,0))=29,366,365),$G68*$C$15/IF(DAY(DATE(MID(F68,7,4),3,0))=29,366,365))),"")</f>
        <v xml:space="preserve"> </v>
      </c>
      <c r="I68" s="3" t="str">
        <f t="shared" si="16"/>
        <v xml:space="preserve"> </v>
      </c>
      <c r="J68" s="3" t="str">
        <f t="shared" ref="J68:J69" si="31">IFERROR(IF($C$18=" "," ",1/(1+I68))," ")</f>
        <v xml:space="preserve"> </v>
      </c>
      <c r="K68" s="3" t="str">
        <f t="shared" si="17"/>
        <v/>
      </c>
      <c r="L68" s="30" t="str">
        <f t="shared" si="29"/>
        <v/>
      </c>
      <c r="M68" s="29" t="str">
        <f t="shared" si="18"/>
        <v/>
      </c>
      <c r="N68" s="29" t="str">
        <f t="shared" si="22"/>
        <v/>
      </c>
      <c r="O68" s="29" t="str">
        <f t="shared" ref="O68:O69" si="32">IFERROR(IF($C$17=E68,M68,TRUNC($C$19-N68,2)),"")</f>
        <v/>
      </c>
      <c r="P68" s="29" t="str">
        <f t="shared" ref="P68:P69" si="33">IF(TRUNC(SUM(N68:O68),2)&lt;=0,"",TRUNC(SUM(N68:O68),2))</f>
        <v/>
      </c>
      <c r="Q68" s="23" t="str">
        <f t="shared" si="23"/>
        <v/>
      </c>
      <c r="R68" s="5" t="str">
        <f t="shared" si="28"/>
        <v/>
      </c>
      <c r="S68" s="5" t="str">
        <f t="shared" si="20"/>
        <v/>
      </c>
      <c r="T68" s="5" t="str">
        <f t="shared" si="21"/>
        <v/>
      </c>
      <c r="U68" s="4" t="str">
        <f t="shared" si="24"/>
        <v xml:space="preserve"> </v>
      </c>
      <c r="V68" s="6" t="str">
        <f t="shared" si="25"/>
        <v xml:space="preserve"> </v>
      </c>
      <c r="W68" s="22" t="str">
        <f t="shared" si="26"/>
        <v/>
      </c>
      <c r="X68" s="22" t="str">
        <f t="shared" si="27"/>
        <v/>
      </c>
      <c r="Y68" s="22"/>
    </row>
    <row r="69" spans="5:25" x14ac:dyDescent="0.25">
      <c r="E69" s="25" t="str">
        <f t="shared" ref="E69" si="34">IFERROR(IF($E68&lt;$C$17,E68+1," "),"")</f>
        <v xml:space="preserve"> </v>
      </c>
      <c r="F69" s="26" t="str">
        <f t="shared" ref="F69" si="35">IFERROR(TEXT(IF($E69&lt;=$C$17,EDATE($F$4,E69 - 1)," "),"DD/MM/YYYY"),"")</f>
        <v xml:space="preserve"> </v>
      </c>
      <c r="G69" s="27" t="str">
        <f t="shared" ref="G69" si="36">IFERROR(IF(E69=" "," ",F69-F68),"")</f>
        <v xml:space="preserve"> </v>
      </c>
      <c r="H69" s="28" t="str">
        <f t="shared" si="30"/>
        <v xml:space="preserve"> </v>
      </c>
      <c r="I69" s="3" t="str">
        <f t="shared" ref="I69" si="37">IFERROR(IF(E69=" "," ",ROUND(I68+H69+(I68*H69),6)),"")</f>
        <v xml:space="preserve"> </v>
      </c>
      <c r="J69" s="3" t="str">
        <f t="shared" si="31"/>
        <v xml:space="preserve"> </v>
      </c>
      <c r="K69" s="3" t="str">
        <f t="shared" ref="K69" si="38">IFERROR(IF($C$18=" "," ",K68+J69),"")</f>
        <v/>
      </c>
      <c r="L69" s="30" t="str">
        <f t="shared" si="29"/>
        <v/>
      </c>
      <c r="M69" s="29" t="str">
        <f t="shared" ref="M69" si="39">IFERROR(IF(IF($M68&gt;0,($M68-$O68)," ")&lt;=0,"",IF($M68&gt;0,($M68-$O68)," ")),"")</f>
        <v/>
      </c>
      <c r="N69" s="29" t="str">
        <f t="shared" si="22"/>
        <v/>
      </c>
      <c r="O69" s="29" t="str">
        <f t="shared" si="32"/>
        <v/>
      </c>
      <c r="P69" s="29" t="str">
        <f t="shared" si="33"/>
        <v/>
      </c>
      <c r="Q69" s="23" t="str">
        <f t="shared" si="23"/>
        <v/>
      </c>
      <c r="R69" s="5" t="str">
        <f t="shared" ref="R69:R100" si="40">TEXT(IF(AND(Q68="N",Q69="Y"),EDATE($F$4,E69-2),IF(AND(Q68="Y",Q69="N"),EDATE($F$4,E69-2),"")),"DD/MM/YYYY")</f>
        <v/>
      </c>
      <c r="S69" s="5" t="str">
        <f t="shared" ref="S69" si="41">TEXT(IFERROR(DATE(YEAR(R69),12,31),""),"DD/MM/YYYY")</f>
        <v/>
      </c>
      <c r="T69" s="5" t="str">
        <f t="shared" ref="T69" si="42">TEXT(IFERROR(EDATE($R69,1),""),"DD/MM/YYYY")</f>
        <v/>
      </c>
      <c r="U69" s="4" t="str">
        <f t="shared" si="24"/>
        <v xml:space="preserve"> </v>
      </c>
      <c r="V69" s="6" t="str">
        <f t="shared" si="25"/>
        <v xml:space="preserve"> </v>
      </c>
      <c r="W69" s="22" t="str">
        <f t="shared" si="26"/>
        <v/>
      </c>
      <c r="X69" s="22" t="str">
        <f t="shared" si="27"/>
        <v/>
      </c>
      <c r="Y69" s="22"/>
    </row>
  </sheetData>
  <mergeCells count="5">
    <mergeCell ref="E2:P2"/>
    <mergeCell ref="Z3:AH3"/>
    <mergeCell ref="AJ3:AL3"/>
    <mergeCell ref="B5:C5"/>
    <mergeCell ref="B9:C9"/>
  </mergeCells>
  <conditionalFormatting sqref="Q4">
    <cfRule type="cellIs" dxfId="4" priority="5" operator="equal">
      <formula>"Y"</formula>
    </cfRule>
  </conditionalFormatting>
  <conditionalFormatting sqref="Q5:Q69 M5:P5 M10:M69 O10:P69 M6:M8 O6:P8 M4:Q4 N6:N69">
    <cfRule type="cellIs" dxfId="3" priority="4" operator="equal">
      <formula>"Y"</formula>
    </cfRule>
  </conditionalFormatting>
  <conditionalFormatting sqref="M9 O9:P9">
    <cfRule type="cellIs" dxfId="2" priority="3" operator="equal">
      <formula>"Y"</formula>
    </cfRule>
  </conditionalFormatting>
  <conditionalFormatting sqref="AJ4:AL6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000009154242EX</vt:lpstr>
      <vt:lpstr>000009184487EX</vt:lpstr>
      <vt:lpstr>000009085630EX</vt:lpstr>
      <vt:lpstr>000009234228EX</vt:lpstr>
      <vt:lpstr>000009161190EX</vt:lpstr>
      <vt:lpstr>000009268092BC</vt:lpstr>
      <vt:lpstr>000009181144BC</vt:lpstr>
      <vt:lpstr>000009093197BC</vt:lpstr>
      <vt:lpstr>000000017145BC</vt:lpstr>
      <vt:lpstr>000009259774BC</vt:lpstr>
    </vt:vector>
  </TitlesOfParts>
  <Company>Banco Cuscatlan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Burgos Cornejo, Carlos Moises [CUSCA]</dc:creator>
  <cp:lastModifiedBy>Luna Kadysz</cp:lastModifiedBy>
  <dcterms:created xsi:type="dcterms:W3CDTF">2019-05-07T18:12:10Z</dcterms:created>
  <dcterms:modified xsi:type="dcterms:W3CDTF">2019-12-04T16:42:03Z</dcterms:modified>
</cp:coreProperties>
</file>